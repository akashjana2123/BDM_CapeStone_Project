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DM\"/>
    </mc:Choice>
  </mc:AlternateContent>
  <xr:revisionPtr revIDLastSave="0" documentId="13_ncr:1_{E167578D-021F-4A5E-8EDA-35D11C10BCCB}" xr6:coauthVersionLast="47" xr6:coauthVersionMax="47" xr10:uidLastSave="{00000000-0000-0000-0000-000000000000}"/>
  <bookViews>
    <workbookView xWindow="-120" yWindow="-120" windowWidth="29040" windowHeight="15720" tabRatio="748" activeTab="9" xr2:uid="{00000000-000D-0000-FFFF-FFFF00000000}"/>
  </bookViews>
  <sheets>
    <sheet name="README" sheetId="1" r:id="rId1"/>
    <sheet name="Cleaning Log" sheetId="2" r:id="rId2"/>
    <sheet name="Transactions" sheetId="3" r:id="rId3"/>
    <sheet name="Descriptive Stats" sheetId="4" r:id="rId4"/>
    <sheet name="Annual Summary" sheetId="5" r:id="rId5"/>
    <sheet name="Forecast" sheetId="6" r:id="rId6"/>
    <sheet name="Yield" sheetId="7" r:id="rId7"/>
    <sheet name="P&amp;L Model" sheetId="8" r:id="rId8"/>
    <sheet name="Sensitivity" sheetId="9" r:id="rId9"/>
    <sheet name="Buyer Risk Model" sheetId="10" r:id="rId10"/>
    <sheet name="Buyer Tiers" sheetId="11" r:id="rId11"/>
    <sheet name="Anomalies" sheetId="12" r:id="rId12"/>
  </sheets>
  <definedNames>
    <definedName name="_xlnm._FilterDatabase" localSheetId="9" hidden="1">'Buyer Risk Model'!$A$4:$J$134</definedName>
    <definedName name="_xlnm._FilterDatabase" localSheetId="2" hidden="1">Transactions!$A$1:$G$851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9" l="1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B22" i="8"/>
  <c r="B20" i="8"/>
  <c r="B16" i="8"/>
  <c r="B12" i="8"/>
  <c r="B11" i="8"/>
  <c r="D7" i="5"/>
  <c r="D6" i="5"/>
  <c r="D5" i="5"/>
  <c r="D4" i="5"/>
  <c r="C29" i="8" l="1"/>
  <c r="B21" i="8"/>
  <c r="C28" i="8"/>
  <c r="B15" i="8"/>
  <c r="B13" i="8"/>
  <c r="B14" i="8" l="1"/>
  <c r="B23" i="8"/>
</calcChain>
</file>

<file path=xl/sharedStrings.xml><?xml version="1.0" encoding="utf-8"?>
<sst xmlns="http://schemas.openxmlformats.org/spreadsheetml/2006/main" count="4789" uniqueCount="403">
  <si>
    <t>Analytical Study of Ankita Cashew Processing</t>
  </si>
  <si>
    <t>BDM Capstone — FINAL Analysis Workbook (native Excel charts)</t>
  </si>
  <si>
    <t>Akash Jana | Roll 23f2000990 | IIT Madras BS Degree</t>
  </si>
  <si>
    <t>All charts here are native Excel charts (editable; right-click &gt; Edit Data).</t>
  </si>
  <si>
    <t>Reproduced by analysis_final.py.</t>
  </si>
  <si>
    <t>Sheets: Cleaning Log, Transactions, Descriptive Stats, Annual Summary, Forecast, Yield,</t>
  </si>
  <si>
    <t>P&amp;L Model (live formulas), Sensitivity (colour scale), Buyer Risk Model, Buyer Tiers,</t>
  </si>
  <si>
    <t>Anomalies. Blue = inputs/assumptions, black = formulas. ₹ amounts, KG weights.</t>
  </si>
  <si>
    <t>Data Cleaning Log</t>
  </si>
  <si>
    <t>Step</t>
  </si>
  <si>
    <t>Count</t>
  </si>
  <si>
    <t>Cells scanned</t>
  </si>
  <si>
    <t>Non-data rows skipped</t>
  </si>
  <si>
    <t>Exact duplicates removed</t>
  </si>
  <si>
    <t>Clean transactions kept</t>
  </si>
  <si>
    <t>Duplicate examples: ₹70,000 cash sale (Ankita 31-Mar-2023); ₹25,00,000 RCN purchase (Ankita 30-Jul-2024).</t>
  </si>
  <si>
    <t>Company</t>
  </si>
  <si>
    <t>Flow</t>
  </si>
  <si>
    <t>Goods</t>
  </si>
  <si>
    <t>Date</t>
  </si>
  <si>
    <t>Counterparty</t>
  </si>
  <si>
    <t>Amount (₹)</t>
  </si>
  <si>
    <t>Financial Year</t>
  </si>
  <si>
    <t>Adrita</t>
  </si>
  <si>
    <t>Sale</t>
  </si>
  <si>
    <t>FCN</t>
  </si>
  <si>
    <t>M/s Shree Taran Traders</t>
  </si>
  <si>
    <t>FY22-23</t>
  </si>
  <si>
    <t>ASHWANI KUMAR NEEL KAMAL</t>
  </si>
  <si>
    <t>Purchase</t>
  </si>
  <si>
    <t>RCN</t>
  </si>
  <si>
    <t>VIJAY TRADERS</t>
  </si>
  <si>
    <t>M/S RADHYSHYAM SAMBHUNATH</t>
  </si>
  <si>
    <t>M/S PADAM &amp; SONS</t>
  </si>
  <si>
    <t>Maa Laxmi Cashew</t>
  </si>
  <si>
    <t>Durga Cashew Co</t>
  </si>
  <si>
    <t>Subham Traders</t>
  </si>
  <si>
    <t>Ankita Cashew Processing</t>
  </si>
  <si>
    <t>Nandi Cashew Processing</t>
  </si>
  <si>
    <t>P P Enterprises</t>
  </si>
  <si>
    <t>SHYAS IMPEX TRADING</t>
  </si>
  <si>
    <t>SHRI KRISHNA CASHEW PROCESSING</t>
  </si>
  <si>
    <t>PAL CASHEW PROCESSING</t>
  </si>
  <si>
    <t>Advance From Customers</t>
  </si>
  <si>
    <t>SIYA AGRI ZONE PVT LTD</t>
  </si>
  <si>
    <t>MAA SITALA CASHEW TRADING AND PROCESSING</t>
  </si>
  <si>
    <t>Neo Traders</t>
  </si>
  <si>
    <t>Sahoo Cashew Nut Processing</t>
  </si>
  <si>
    <t>Mahesh Cashew Processing</t>
  </si>
  <si>
    <t>SUNRICE CHEMICALS PVT LTD</t>
  </si>
  <si>
    <t>Satyam Traders</t>
  </si>
  <si>
    <t>Patra Cashew Trading</t>
  </si>
  <si>
    <t>SWANRALI CASHEW PROCESSING</t>
  </si>
  <si>
    <t>SADANTHA AGRO PVT LTD</t>
  </si>
  <si>
    <t>Sahoo Cashew Processing</t>
  </si>
  <si>
    <t>Manni Lal Madhav Saran</t>
  </si>
  <si>
    <t>Thanks Enterprises</t>
  </si>
  <si>
    <t>NEW MAA BASULI CASHEW PROCESSING</t>
  </si>
  <si>
    <t>Tripathi Cashew Processing</t>
  </si>
  <si>
    <t>Cash</t>
  </si>
  <si>
    <t>M/s Satyam Traders</t>
  </si>
  <si>
    <t>FY23-24</t>
  </si>
  <si>
    <t>Festival Cashew Processing</t>
  </si>
  <si>
    <t>M/s Famous Tea Company</t>
  </si>
  <si>
    <t>Shree Taran Traders</t>
  </si>
  <si>
    <t>Radhyshyam Sambhu Nath</t>
  </si>
  <si>
    <t>Swarnali Cashew Processing</t>
  </si>
  <si>
    <t>ANKITA TRADERS</t>
  </si>
  <si>
    <t>SHRI VISHNU TRADERS</t>
  </si>
  <si>
    <t>M/s Maa Sitatala Cashew Trading &amp; Processing</t>
  </si>
  <si>
    <t>M/s Devideen Hanuman Prasad</t>
  </si>
  <si>
    <t>DEVI CASHEW PROCESSING</t>
  </si>
  <si>
    <t>BABA RAGHUNATH CASHEW PROCESSING</t>
  </si>
  <si>
    <t>SALONI TRADERS</t>
  </si>
  <si>
    <t>Maa Laxmi Cashew Processing</t>
  </si>
  <si>
    <t>GALAXY CASHEW INDUSTRY</t>
  </si>
  <si>
    <t>MAHENDRA SPICES</t>
  </si>
  <si>
    <t>KRISHNA DRY FRUIT CENTER</t>
  </si>
  <si>
    <t>Padam &amp; Sons</t>
  </si>
  <si>
    <t>MOMS</t>
  </si>
  <si>
    <t>SWARNASHRI CASHEW PROCESSING</t>
  </si>
  <si>
    <t>Aadhya Traders</t>
  </si>
  <si>
    <t>Dimond Enterprises</t>
  </si>
  <si>
    <t>SHREE TRADERS</t>
  </si>
  <si>
    <t>M/S SHUBHAM TRADERS</t>
  </si>
  <si>
    <t>Moyuk Enterprises</t>
  </si>
  <si>
    <t>Ahana Cashew Processing</t>
  </si>
  <si>
    <t>UMA SANKAR ROAD</t>
  </si>
  <si>
    <t>GUPTA STORE</t>
  </si>
  <si>
    <t>Gopal Krishna Cashew Industries</t>
  </si>
  <si>
    <t>M/s Ashwani Kumar Neel Kamal</t>
  </si>
  <si>
    <t>Bera Cashew Processing</t>
  </si>
  <si>
    <t>AVRADEEP ACHARJEE</t>
  </si>
  <si>
    <t>Maa Basuli</t>
  </si>
  <si>
    <t>FY24-25</t>
  </si>
  <si>
    <t>PRIME AGRO IMPEX</t>
  </si>
  <si>
    <t>Ramesh Chand Naresh Kumar</t>
  </si>
  <si>
    <t>SHREE SUMANGALA TRADERS</t>
  </si>
  <si>
    <t>M/S DEB TRADERS</t>
  </si>
  <si>
    <t>SALASAR BHANDER</t>
  </si>
  <si>
    <t>Sashwat Traders</t>
  </si>
  <si>
    <t>H K SINHA</t>
  </si>
  <si>
    <t>CRYSTAL IMPEX</t>
  </si>
  <si>
    <t>MONI CASHEW PROCESSING</t>
  </si>
  <si>
    <t>SANKAR SWEET</t>
  </si>
  <si>
    <t>NARMADHAS ENTERPRISES</t>
  </si>
  <si>
    <t>DELHI KIRYANA STORE</t>
  </si>
  <si>
    <t>Naresh Trading CO</t>
  </si>
  <si>
    <t>KAMAKHYA ENTERPRISE</t>
  </si>
  <si>
    <t>CHABIL DASS &amp; SONS</t>
  </si>
  <si>
    <t>RLG ENTERPRISES</t>
  </si>
  <si>
    <t>Radha Kishan Rajendra Kumar</t>
  </si>
  <si>
    <t>DURGA CASHEW PROCESSING</t>
  </si>
  <si>
    <t>Shoel Cashew Processing</t>
  </si>
  <si>
    <t>Keshav Trading Co</t>
  </si>
  <si>
    <t>ARJU CASHEW PROCESSING</t>
  </si>
  <si>
    <t>ANAND KUMAR DEEPESH KUMAR</t>
  </si>
  <si>
    <t>New Ma Basuli Cashew Processing</t>
  </si>
  <si>
    <t>Moonstar Cashew Processing</t>
  </si>
  <si>
    <t>Gayetri Cashew Processing</t>
  </si>
  <si>
    <t>BERA CASHEW (GOUTAM)</t>
  </si>
  <si>
    <t>MOYUK ENTERPRISE</t>
  </si>
  <si>
    <t>Soma Enterprises</t>
  </si>
  <si>
    <t>M/S DEV TRADERS</t>
  </si>
  <si>
    <t>ENAYET CASHEW TRADING</t>
  </si>
  <si>
    <t>BAJRANG ENTERPRISE</t>
  </si>
  <si>
    <t>FY25-26</t>
  </si>
  <si>
    <t>LAXMAN PRASAD OM PRAKASH</t>
  </si>
  <si>
    <t>KGN TRADERS</t>
  </si>
  <si>
    <t>AL JESVIN IMPEX AND CONTRACTING PVT LTD</t>
  </si>
  <si>
    <t>M/s Sahoo Cashew Processing</t>
  </si>
  <si>
    <t>Ujjala Chanachur</t>
  </si>
  <si>
    <t>PREM TRADING COMPANY</t>
  </si>
  <si>
    <t>RONAK CASHEW TRADING</t>
  </si>
  <si>
    <t>M/s BAGWATI DRY FRUITS</t>
  </si>
  <si>
    <t>Ma Nachinda Cashew</t>
  </si>
  <si>
    <t>Al Tarek Cashew</t>
  </si>
  <si>
    <t>Rajesh Froot Co.</t>
  </si>
  <si>
    <t>M R CASHEWS</t>
  </si>
  <si>
    <t>SHYEB CASHEW PROCESSING</t>
  </si>
  <si>
    <t>M/S SHRI SHYAM TRADERS</t>
  </si>
  <si>
    <t>MAA CHANDI CASHEW NUT PROCESSING</t>
  </si>
  <si>
    <t>M/S ANUSHREE ENTERPRISES</t>
  </si>
  <si>
    <t>M/S RAISA RANI CASHEW PROCESSING</t>
  </si>
  <si>
    <t>Ganesh Mashla Bhander</t>
  </si>
  <si>
    <t>MANAK CHAND &amp; SONS</t>
  </si>
  <si>
    <t>M/s Raunak Food and Spices</t>
  </si>
  <si>
    <t>DEBASISH TRADING CO</t>
  </si>
  <si>
    <t>NATURE FOOD INGREDIENTS</t>
  </si>
  <si>
    <t>RIHAN CASHEW TRADING</t>
  </si>
  <si>
    <t>Ankita</t>
  </si>
  <si>
    <t>Maa Durga Cashew Processing</t>
  </si>
  <si>
    <t>CHAKADOLA POLYMERS PVT LTD</t>
  </si>
  <si>
    <t>M/s Nandi Cashew Processing</t>
  </si>
  <si>
    <t>M/s Sree Krishna Cashew Processing</t>
  </si>
  <si>
    <t>M/s Mahesh Cashew Processing</t>
  </si>
  <si>
    <t>Tripathy Cashew Processing</t>
  </si>
  <si>
    <t>Adrita Cashew Processing</t>
  </si>
  <si>
    <t>SIYA AGRIZONE PVT LTS</t>
  </si>
  <si>
    <t>SHAYAS IMPEX TRADING</t>
  </si>
  <si>
    <t>VEER CASHEW INDUSTRYES</t>
  </si>
  <si>
    <t>Advance From Customer</t>
  </si>
  <si>
    <t>GALAXY TINA INDUSTRY</t>
  </si>
  <si>
    <t>New Kumudini Radio</t>
  </si>
  <si>
    <t>SURBHI FOOD PRODUCTS</t>
  </si>
  <si>
    <t>SANIA CASHEW PROCESSING</t>
  </si>
  <si>
    <t>Maa Sitala Cashew Trading &amp; Processing</t>
  </si>
  <si>
    <t>D K Day &amp; Sarker &amp; Co</t>
  </si>
  <si>
    <t>THE AURA</t>
  </si>
  <si>
    <t>P P ENTERPRISE</t>
  </si>
  <si>
    <t>DEB TRADERS</t>
  </si>
  <si>
    <t>OVERSEAS TRADING CO</t>
  </si>
  <si>
    <t>DNR TRADERS</t>
  </si>
  <si>
    <t>Ravi Agencies</t>
  </si>
  <si>
    <t>SUNRISE CHEMICALS PVT LTD</t>
  </si>
  <si>
    <t>M/s Mannilal Madhav Saran</t>
  </si>
  <si>
    <t>M/S SUBHAM TRADERS</t>
  </si>
  <si>
    <t>Reliable Traders</t>
  </si>
  <si>
    <t>M/S Dhram Chand Dhiraj Kumar</t>
  </si>
  <si>
    <t>M/S RAJ &amp; RAJ</t>
  </si>
  <si>
    <t>ANOAR KAJU PROCESSING</t>
  </si>
  <si>
    <t>SATTAR EXIM</t>
  </si>
  <si>
    <t>DEVIDEEN HANUMANPRASAD</t>
  </si>
  <si>
    <t>DEV KR CASHEW</t>
  </si>
  <si>
    <t>RINA CASHEW TRADING</t>
  </si>
  <si>
    <t>Agrizone Mercantile Llp</t>
  </si>
  <si>
    <t>M/s Neo Traders</t>
  </si>
  <si>
    <t>Export</t>
  </si>
  <si>
    <t>GS ENTERPRISE</t>
  </si>
  <si>
    <t>Sri Ram Cashew Processing</t>
  </si>
  <si>
    <t>Maa Taratarini Traders</t>
  </si>
  <si>
    <t>SHANKAR SWEET</t>
  </si>
  <si>
    <t>CHANDAN PURAKAYATWA</t>
  </si>
  <si>
    <t>M/S KAMALA EXPORT IMPORT</t>
  </si>
  <si>
    <t>PROTTASA ENTERPRISE</t>
  </si>
  <si>
    <t>SUSHMA INDUSTRIES</t>
  </si>
  <si>
    <t>ADINATH KAJU HOUSE</t>
  </si>
  <si>
    <t>BABA RAGHUNATH CASHEW PRO</t>
  </si>
  <si>
    <t>Swarna Shri Cashew</t>
  </si>
  <si>
    <t>M/S MAA PARWATI TRADERS</t>
  </si>
  <si>
    <t>A B TRADING</t>
  </si>
  <si>
    <t>Sanjib Cashew Processing</t>
  </si>
  <si>
    <t>SBS CASHEW</t>
  </si>
  <si>
    <t>G.S . Enterprises (Orissa)</t>
  </si>
  <si>
    <t>LAXMANPRASAD OM PRAKESH</t>
  </si>
  <si>
    <t>CHITRA MAL BHURANMAL JAIN</t>
  </si>
  <si>
    <t>M/s RAMESH CHAND NARESH KUMAR</t>
  </si>
  <si>
    <t>ALPHONSA CASHEW INDUSTRIES</t>
  </si>
  <si>
    <t>BALASHRI TRADING COMPANY</t>
  </si>
  <si>
    <t>SHYAMA TRADING</t>
  </si>
  <si>
    <t>BLPD NUTS PVT LTD</t>
  </si>
  <si>
    <t>DEEP INTERNATIONAL</t>
  </si>
  <si>
    <t>SM EXIM &amp; TRADING SOLUTIONS</t>
  </si>
  <si>
    <t>NEW MAA BASULI CASHEW</t>
  </si>
  <si>
    <t>INDIRA TRADERS</t>
  </si>
  <si>
    <t>SUSILA CASHEW PROCESSING</t>
  </si>
  <si>
    <t>Maa Gouri Cashew Processing</t>
  </si>
  <si>
    <t>M/S BERA CASHEW PROCESSING(Goutam)</t>
  </si>
  <si>
    <t>DIVYA SWADESHI AGENCY</t>
  </si>
  <si>
    <t>KAMAKHYA ENTERPRISES</t>
  </si>
  <si>
    <t>OVERSEAS TRADING COMPANY</t>
  </si>
  <si>
    <t>BANSAL SALES</t>
  </si>
  <si>
    <t>RAJ TRADING COMPANY</t>
  </si>
  <si>
    <t>M/s FAIZAN CASHEW PROCESSING AND TRADING</t>
  </si>
  <si>
    <t>M/S Ganpatram Jagdish Prasad Chachan</t>
  </si>
  <si>
    <t>Royel Cashew Processing</t>
  </si>
  <si>
    <t>SAHOO CASHEW (BABUKA)</t>
  </si>
  <si>
    <t>SHANKAR SWEETS</t>
  </si>
  <si>
    <t>Love Kush Trading Company</t>
  </si>
  <si>
    <t>RAISA RANI CASHEW PROCESSING</t>
  </si>
  <si>
    <t>AL TAREK CASHEW PROCESSING</t>
  </si>
  <si>
    <t>Ahana Enterprises</t>
  </si>
  <si>
    <t>Descriptive Statistics — all variables</t>
  </si>
  <si>
    <t>Variable</t>
  </si>
  <si>
    <t>Mean</t>
  </si>
  <si>
    <t>Median</t>
  </si>
  <si>
    <t>SD</t>
  </si>
  <si>
    <t>Min</t>
  </si>
  <si>
    <t>Max</t>
  </si>
  <si>
    <t>Sale amount (₹)</t>
  </si>
  <si>
    <t>Purchase amount (₹)</t>
  </si>
  <si>
    <t>RCN price (₹/KG)</t>
  </si>
  <si>
    <t>Buyer revenue (₹)</t>
  </si>
  <si>
    <t>Buyer orders (count)</t>
  </si>
  <si>
    <t>Buyer risk score (0-100)</t>
  </si>
  <si>
    <t>Contribution per kg kernel (₹)</t>
  </si>
  <si>
    <t>Annual Sales vs Purchase</t>
  </si>
  <si>
    <t>Sales (₹)</t>
  </si>
  <si>
    <t>Purchase (₹)</t>
  </si>
  <si>
    <t>Net (₹)</t>
  </si>
  <si>
    <t>Forecast Accuracy (6-month holdout)</t>
  </si>
  <si>
    <t>Model</t>
  </si>
  <si>
    <t>RMSE (₹)</t>
  </si>
  <si>
    <t>MAE (₹)</t>
  </si>
  <si>
    <t>ARIMA</t>
  </si>
  <si>
    <t>Linear (base)</t>
  </si>
  <si>
    <t>Naive</t>
  </si>
  <si>
    <t>Yield per Cycle</t>
  </si>
  <si>
    <t>Cycle</t>
  </si>
  <si>
    <t>Yield %</t>
  </si>
  <si>
    <t>Target %</t>
  </si>
  <si>
    <t>Variance</t>
  </si>
  <si>
    <t>Z-score</t>
  </si>
  <si>
    <t>Outlier</t>
  </si>
  <si>
    <t>Ad-22-23</t>
  </si>
  <si>
    <t>No</t>
  </si>
  <si>
    <t>Ad-23-24</t>
  </si>
  <si>
    <t>Ad-24-25</t>
  </si>
  <si>
    <t>Ad-25-26</t>
  </si>
  <si>
    <t>An-22-23</t>
  </si>
  <si>
    <t>Yes</t>
  </si>
  <si>
    <t>An-23-24</t>
  </si>
  <si>
    <t>An-24-25</t>
  </si>
  <si>
    <t>An-25-26</t>
  </si>
  <si>
    <t>Profit &amp; Loss — Live Contribution Model</t>
  </si>
  <si>
    <t>Edit blue assumption cells to test scenarios.</t>
  </si>
  <si>
    <t>Assumptions</t>
  </si>
  <si>
    <t>RCN price (₹/kg)</t>
  </si>
  <si>
    <t>Outturn / yield</t>
  </si>
  <si>
    <t>Processing (₹/kg kernel)</t>
  </si>
  <si>
    <t>Kernel selling price (₹/kg)</t>
  </si>
  <si>
    <t>Computed</t>
  </si>
  <si>
    <t>RCN cost per kg kernel</t>
  </si>
  <si>
    <t>Total cost per kg kernel</t>
  </si>
  <si>
    <t>Contribution per kg kernel</t>
  </si>
  <si>
    <t>Margin %</t>
  </si>
  <si>
    <t>Break-even price (₹/kg)</t>
  </si>
  <si>
    <t>Break-even outturn</t>
  </si>
  <si>
    <t>Profit build-up (₹/kg)</t>
  </si>
  <si>
    <t>Component</t>
  </si>
  <si>
    <t>₹/kg</t>
  </si>
  <si>
    <t>Selling price</t>
  </si>
  <si>
    <t>RCN cost</t>
  </si>
  <si>
    <t>Processing</t>
  </si>
  <si>
    <t>Contribution</t>
  </si>
  <si>
    <t>By grade</t>
  </si>
  <si>
    <t>Grade</t>
  </si>
  <si>
    <t>Price (₹/kg)</t>
  </si>
  <si>
    <t>Contribution (₹/kg)</t>
  </si>
  <si>
    <t>Whole</t>
  </si>
  <si>
    <t>Broken</t>
  </si>
  <si>
    <t>Contribution Sensitivity (₹/kg kernel)</t>
  </si>
  <si>
    <t>Rows = RCN price change · Columns = selling-price change · live formulas off 'P&amp;L Model'.</t>
  </si>
  <si>
    <t>RCN ↓ / Price →</t>
  </si>
  <si>
    <t>-10%</t>
  </si>
  <si>
    <t>-5%</t>
  </si>
  <si>
    <t>+0%</t>
  </si>
  <si>
    <t>+5%</t>
  </si>
  <si>
    <t>+10%</t>
  </si>
  <si>
    <t>Buyer Risk Model</t>
  </si>
  <si>
    <t>Risk score 0-100 from recency, frequency, tenure and exposure. Tier sets credit limit.</t>
  </si>
  <si>
    <t>Illustrative logistic model: AUC=0.96, accuracy=0.923 (simulated delays).</t>
  </si>
  <si>
    <t>Recency</t>
  </si>
  <si>
    <t>Low</t>
  </si>
  <si>
    <t>Medium</t>
  </si>
  <si>
    <t>High</t>
  </si>
  <si>
    <t>Tier</t>
  </si>
  <si>
    <t>Buyers</t>
  </si>
  <si>
    <t>Exposure (₹)</t>
  </si>
  <si>
    <t>FPR</t>
  </si>
  <si>
    <t>TPR</t>
  </si>
  <si>
    <t>Feature</t>
  </si>
  <si>
    <t>Coef</t>
  </si>
  <si>
    <t>revenue</t>
  </si>
  <si>
    <t>orders</t>
  </si>
  <si>
    <t>avg_order</t>
  </si>
  <si>
    <t>recency</t>
  </si>
  <si>
    <t>freq</t>
  </si>
  <si>
    <t>tenure</t>
  </si>
  <si>
    <t>Buyer Tiers &amp; Credit Exposure</t>
  </si>
  <si>
    <t>Credit exposure (₹)</t>
  </si>
  <si>
    <t>Anomaly Detection</t>
  </si>
  <si>
    <t>Flagged 29 of 850 (3.4%): 12 Z-score, 17 Isolation Forest. 3 months flagged by reconciliation.</t>
  </si>
  <si>
    <t>Party</t>
  </si>
  <si>
    <t>Z</t>
  </si>
  <si>
    <t>Flagged by</t>
  </si>
  <si>
    <t>Idx</t>
  </si>
  <si>
    <t>Normal</t>
  </si>
  <si>
    <t>Anomaly</t>
  </si>
  <si>
    <t>Month</t>
  </si>
  <si>
    <t>Kernel/ RCN ratio</t>
  </si>
  <si>
    <t>2022-11-19</t>
  </si>
  <si>
    <t>Isolation Forest</t>
  </si>
  <si>
    <t>2022-04</t>
  </si>
  <si>
    <t>2023-11-03</t>
  </si>
  <si>
    <t>SUNRICE CHEMICALS PVT LT</t>
  </si>
  <si>
    <t>2022-05</t>
  </si>
  <si>
    <t>2023-03-29</t>
  </si>
  <si>
    <t>2022-06</t>
  </si>
  <si>
    <t>2023-02-06</t>
  </si>
  <si>
    <t>2022-07</t>
  </si>
  <si>
    <t>2024-04-15</t>
  </si>
  <si>
    <t>2022-08</t>
  </si>
  <si>
    <t>2023-09-03</t>
  </si>
  <si>
    <t>2022-09</t>
  </si>
  <si>
    <t>2025-09-22</t>
  </si>
  <si>
    <t>MAA CHANDI CASHEW NUT PR</t>
  </si>
  <si>
    <t>2022-10</t>
  </si>
  <si>
    <t>2023-12-01</t>
  </si>
  <si>
    <t>Maa Laxmi Cashew Process</t>
  </si>
  <si>
    <t>2022-11</t>
  </si>
  <si>
    <t>2023-12-09</t>
  </si>
  <si>
    <t>2022-12</t>
  </si>
  <si>
    <t>2023-05-05</t>
  </si>
  <si>
    <t>2023-01</t>
  </si>
  <si>
    <t>2022-05-10</t>
  </si>
  <si>
    <t>CHAKADOLA POLYMERS PVT L</t>
  </si>
  <si>
    <t>2023-02</t>
  </si>
  <si>
    <t>2025-12-29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</si>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</sst>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"/>
    <numFmt numFmtId="166" formatCode="#,##0.0"/>
    <numFmt numFmtId="167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0F766E"/>
      <name val="Arial"/>
      <family val="2"/>
    </font>
    <font>
      <b/>
      <sz val="11"/>
      <color rgb="FFB45309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Cambria"/>
      <family val="1"/>
    </font>
    <font>
      <i/>
      <sz val="9"/>
      <color rgb="FF88888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/>
    <xf numFmtId="0" fontId="5" fillId="0" borderId="0" xfId="0" applyFont="1"/>
    <xf numFmtId="164" fontId="0" fillId="0" borderId="0" xfId="0" applyNumberFormat="1"/>
    <xf numFmtId="3" fontId="0" fillId="0" borderId="0" xfId="0" applyNumberFormat="1"/>
    <xf numFmtId="165" fontId="4" fillId="0" borderId="1" xfId="0" applyNumberFormat="1" applyFont="1" applyBorder="1"/>
    <xf numFmtId="3" fontId="0" fillId="0" borderId="1" xfId="0" applyNumberFormat="1" applyBorder="1"/>
    <xf numFmtId="165" fontId="0" fillId="0" borderId="1" xfId="0" applyNumberFormat="1" applyBorder="1"/>
    <xf numFmtId="0" fontId="4" fillId="0" borderId="1" xfId="0" applyFont="1" applyBorder="1"/>
    <xf numFmtId="166" fontId="4" fillId="0" borderId="1" xfId="0" applyNumberFormat="1" applyFont="1" applyBorder="1"/>
    <xf numFmtId="9" fontId="4" fillId="0" borderId="1" xfId="0" applyNumberFormat="1" applyFont="1" applyBorder="1"/>
    <xf numFmtId="166" fontId="0" fillId="0" borderId="1" xfId="0" applyNumberFormat="1" applyBorder="1"/>
    <xf numFmtId="0" fontId="2" fillId="0" borderId="1" xfId="0" applyFont="1" applyBorder="1"/>
    <xf numFmtId="167" fontId="0" fillId="0" borderId="1" xfId="0" applyNumberFormat="1" applyBorder="1"/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F766E"/>
      <rgbColor rgb="FFBBBBBB"/>
      <rgbColor rgb="FF878787"/>
      <rgbColor rgb="FF9999FF"/>
      <rgbColor rgb="FFBE123C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003366"/>
      <rgbColor rgb="FF339966"/>
      <rgbColor rgb="FF003300"/>
      <rgbColor rgb="FF333300"/>
      <rgbColor rgb="FFB45309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Annual Sales vs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Summary'!$B$3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0F766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Summary'!$B$4:$B$7</c:f>
              <c:numCache>
                <c:formatCode>#,##0</c:formatCode>
                <c:ptCount val="4"/>
                <c:pt idx="0">
                  <c:v>72524077</c:v>
                </c:pt>
                <c:pt idx="1">
                  <c:v>76227072</c:v>
                </c:pt>
                <c:pt idx="2">
                  <c:v>81086538</c:v>
                </c:pt>
                <c:pt idx="3">
                  <c:v>67738985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3-425C-9C20-702BCBCC614D}"/>
            </c:ext>
          </c:extLst>
        </c:ser>
        <c:ser>
          <c:idx val="1"/>
          <c:order val="1"/>
          <c:tx>
            <c:strRef>
              <c:f>'Annual Summary'!$C$3</c:f>
              <c:strCache>
                <c:ptCount val="1"/>
                <c:pt idx="0">
                  <c:v>Purchase (₹)</c:v>
                </c:pt>
              </c:strCache>
            </c:strRef>
          </c:tx>
          <c:spPr>
            <a:solidFill>
              <a:srgbClr val="B4530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'Annual Summary'!$A$4:$A$7</c:f>
              <c:strCache>
                <c:ptCount val="4"/>
                <c:pt idx="0">
                  <c:v>FY22-23</c:v>
                </c:pt>
                <c:pt idx="1">
                  <c:v>FY23-24</c:v>
                </c:pt>
                <c:pt idx="2">
                  <c:v>FY24-25</c:v>
                </c:pt>
                <c:pt idx="3">
                  <c:v>FY25-26</c:v>
                </c:pt>
              </c:strCache>
            </c:strRef>
          </c:cat>
          <c:val>
            <c:numRef>
              <c:f>'Annual Summary'!$C$4:$C$7</c:f>
              <c:numCache>
                <c:formatCode>#,##0</c:formatCode>
                <c:ptCount val="4"/>
                <c:pt idx="0">
                  <c:v>73780058</c:v>
                </c:pt>
                <c:pt idx="1">
                  <c:v>68141555</c:v>
                </c:pt>
                <c:pt idx="2">
                  <c:v>70636908</c:v>
                </c:pt>
                <c:pt idx="3">
                  <c:v>58139303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3-425C-9C20-702BCBCC6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41667"/>
        <c:axId val="71343659"/>
      </c:barChart>
      <c:catAx>
        <c:axId val="256416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343659"/>
        <c:crosses val="autoZero"/>
        <c:auto val="1"/>
        <c:lblAlgn val="ctr"/>
        <c:lblOffset val="100"/>
        <c:noMultiLvlLbl val="0"/>
      </c:catAx>
      <c:valAx>
        <c:axId val="71343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6416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Forecast accuracy (lower=better)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Forecast!$B$3</c:f>
              <c:strCache>
                <c:ptCount val="1"/>
                <c:pt idx="0">
                  <c:v>RMSE (₹)</c:v>
                </c:pt>
              </c:strCache>
            </c:strRef>
          </c:tx>
          <c:spPr>
            <a:solidFill>
              <a:srgbClr val="0F766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Forecast!$A$4:$A$6</c:f>
              <c:strCache>
                <c:ptCount val="3"/>
                <c:pt idx="0">
                  <c:v>ARIMA</c:v>
                </c:pt>
                <c:pt idx="1">
                  <c:v>Linear (base)</c:v>
                </c:pt>
                <c:pt idx="2">
                  <c:v>Naive</c:v>
                </c:pt>
              </c:strCache>
            </c:strRef>
          </c:cat>
          <c:val>
            <c:numRef>
              <c:f>Forecast!$B$4:$B$6</c:f>
              <c:numCache>
                <c:formatCode>#,##0</c:formatCode>
                <c:ptCount val="3"/>
                <c:pt idx="0">
                  <c:v>2527935</c:v>
                </c:pt>
                <c:pt idx="1">
                  <c:v>2181363</c:v>
                </c:pt>
                <c:pt idx="2">
                  <c:v>4304027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B-4282-8CB0-71EB84DBA81A}"/>
            </c:ext>
          </c:extLst>
        </c:ser>
        <c:ser>
          <c:idx val="1"/>
          <c:order val="1"/>
          <c:tx>
            <c:strRef>
              <c:f>Forecast!$C$3</c:f>
              <c:strCache>
                <c:ptCount val="1"/>
                <c:pt idx="0">
                  <c:v>MAE (₹)</c:v>
                </c:pt>
              </c:strCache>
            </c:strRef>
          </c:tx>
          <c:spPr>
            <a:solidFill>
              <a:srgbClr val="B4530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Forecast!$A$4:$A$6</c:f>
              <c:strCache>
                <c:ptCount val="3"/>
                <c:pt idx="0">
                  <c:v>ARIMA</c:v>
                </c:pt>
                <c:pt idx="1">
                  <c:v>Linear (base)</c:v>
                </c:pt>
                <c:pt idx="2">
                  <c:v>Naive</c:v>
                </c:pt>
              </c:strCache>
            </c:strRef>
          </c:cat>
          <c:val>
            <c:numRef>
              <c:f>Forecast!$C$4:$C$6</c:f>
              <c:numCache>
                <c:formatCode>#,##0</c:formatCode>
                <c:ptCount val="3"/>
                <c:pt idx="0">
                  <c:v>2167929</c:v>
                </c:pt>
                <c:pt idx="1">
                  <c:v>1929917</c:v>
                </c:pt>
                <c:pt idx="2">
                  <c:v>3028328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B-4282-8CB0-71EB84DB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96260"/>
        <c:axId val="71082186"/>
      </c:barChart>
      <c:catAx>
        <c:axId val="89696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082186"/>
        <c:crosses val="autoZero"/>
        <c:auto val="1"/>
        <c:lblAlgn val="ctr"/>
        <c:lblOffset val="100"/>
        <c:noMultiLvlLbl val="0"/>
      </c:catAx>
      <c:valAx>
        <c:axId val="71082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69626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Yield % vs 22%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Yield!$B$3</c:f>
              <c:strCache>
                <c:ptCount val="1"/>
                <c:pt idx="0">
                  <c:v>Yield %</c:v>
                </c:pt>
              </c:strCache>
            </c:strRef>
          </c:tx>
          <c:spPr>
            <a:solidFill>
              <a:srgbClr val="0F766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Yield!$A$4:$A$11</c:f>
              <c:strCache>
                <c:ptCount val="8"/>
                <c:pt idx="0">
                  <c:v>Ad-22-23</c:v>
                </c:pt>
                <c:pt idx="1">
                  <c:v>Ad-23-24</c:v>
                </c:pt>
                <c:pt idx="2">
                  <c:v>Ad-24-25</c:v>
                </c:pt>
                <c:pt idx="3">
                  <c:v>Ad-25-26</c:v>
                </c:pt>
                <c:pt idx="4">
                  <c:v>An-22-23</c:v>
                </c:pt>
                <c:pt idx="5">
                  <c:v>An-23-24</c:v>
                </c:pt>
                <c:pt idx="6">
                  <c:v>An-24-25</c:v>
                </c:pt>
                <c:pt idx="7">
                  <c:v>An-25-26</c:v>
                </c:pt>
              </c:strCache>
            </c:strRef>
          </c:cat>
          <c:val>
            <c:numRef>
              <c:f>Yield!$B$4:$B$11</c:f>
              <c:numCache>
                <c:formatCode>0.0</c:formatCode>
                <c:ptCount val="8"/>
                <c:pt idx="0">
                  <c:v>17.399999999999999</c:v>
                </c:pt>
                <c:pt idx="1">
                  <c:v>20.2</c:v>
                </c:pt>
                <c:pt idx="2">
                  <c:v>22.8</c:v>
                </c:pt>
                <c:pt idx="3">
                  <c:v>19.8</c:v>
                </c:pt>
                <c:pt idx="4">
                  <c:v>10.8</c:v>
                </c:pt>
                <c:pt idx="5">
                  <c:v>17.8</c:v>
                </c:pt>
                <c:pt idx="6">
                  <c:v>13.9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9-4CBB-8B0B-488C5E25FB08}"/>
            </c:ext>
          </c:extLst>
        </c:ser>
        <c:ser>
          <c:idx val="1"/>
          <c:order val="1"/>
          <c:tx>
            <c:strRef>
              <c:f>Yield!$C$3</c:f>
              <c:strCache>
                <c:ptCount val="1"/>
                <c:pt idx="0">
                  <c:v>Target %</c:v>
                </c:pt>
              </c:strCache>
            </c:strRef>
          </c:tx>
          <c:spPr>
            <a:solidFill>
              <a:srgbClr val="BE123C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Yield!$A$4:$A$11</c:f>
              <c:strCache>
                <c:ptCount val="8"/>
                <c:pt idx="0">
                  <c:v>Ad-22-23</c:v>
                </c:pt>
                <c:pt idx="1">
                  <c:v>Ad-23-24</c:v>
                </c:pt>
                <c:pt idx="2">
                  <c:v>Ad-24-25</c:v>
                </c:pt>
                <c:pt idx="3">
                  <c:v>Ad-25-26</c:v>
                </c:pt>
                <c:pt idx="4">
                  <c:v>An-22-23</c:v>
                </c:pt>
                <c:pt idx="5">
                  <c:v>An-23-24</c:v>
                </c:pt>
                <c:pt idx="6">
                  <c:v>An-24-25</c:v>
                </c:pt>
                <c:pt idx="7">
                  <c:v>An-25-26</c:v>
                </c:pt>
              </c:strCache>
            </c:strRef>
          </c:cat>
          <c:val>
            <c:numRef>
              <c:f>Yield!$C$4:$C$11</c:f>
              <c:numCache>
                <c:formatCode>0.0</c:formatCode>
                <c:ptCount val="8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9-4CBB-8B0B-488C5E25F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73053"/>
        <c:axId val="44349223"/>
      </c:barChart>
      <c:catAx>
        <c:axId val="49773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349223"/>
        <c:crosses val="autoZero"/>
        <c:auto val="1"/>
        <c:lblAlgn val="ctr"/>
        <c:lblOffset val="100"/>
        <c:noMultiLvlLbl val="0"/>
      </c:catAx>
      <c:valAx>
        <c:axId val="44349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97730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Profit build-up per kg kernel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Model'!$B$19</c:f>
              <c:strCache>
                <c:ptCount val="1"/>
                <c:pt idx="0">
                  <c:v>₹/kg</c:v>
                </c:pt>
              </c:strCache>
            </c:strRef>
          </c:tx>
          <c:spPr>
            <a:solidFill>
              <a:srgbClr val="0F766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'P&amp;L Model'!$A$20:$A$23</c:f>
              <c:strCache>
                <c:ptCount val="4"/>
                <c:pt idx="0">
                  <c:v>Selling price</c:v>
                </c:pt>
                <c:pt idx="1">
                  <c:v>RCN cost</c:v>
                </c:pt>
                <c:pt idx="2">
                  <c:v>Processing</c:v>
                </c:pt>
                <c:pt idx="3">
                  <c:v>Contribution</c:v>
                </c:pt>
              </c:strCache>
            </c:strRef>
          </c:cat>
          <c:val>
            <c:numRef>
              <c:f>'P&amp;L Model'!$B$20:$B$23</c:f>
              <c:numCache>
                <c:formatCode>#,##0</c:formatCode>
                <c:ptCount val="4"/>
                <c:pt idx="0">
                  <c:v>709.8</c:v>
                </c:pt>
                <c:pt idx="1">
                  <c:v>560</c:v>
                </c:pt>
                <c:pt idx="2">
                  <c:v>30</c:v>
                </c:pt>
                <c:pt idx="3">
                  <c:v>119.79999999999995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7-4BD2-9227-C61DEBC09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44396"/>
        <c:axId val="62754127"/>
      </c:barChart>
      <c:catAx>
        <c:axId val="900443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754127"/>
        <c:crosses val="autoZero"/>
        <c:auto val="1"/>
        <c:lblAlgn val="ctr"/>
        <c:lblOffset val="100"/>
        <c:noMultiLvlLbl val="0"/>
      </c:catAx>
      <c:valAx>
        <c:axId val="62754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004439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Contribution by grade (₹/kg)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Model'!$C$27</c:f>
              <c:strCache>
                <c:ptCount val="1"/>
                <c:pt idx="0">
                  <c:v>Contribution (₹/kg)</c:v>
                </c:pt>
              </c:strCache>
            </c:strRef>
          </c:tx>
          <c:spPr>
            <a:solidFill>
              <a:srgbClr val="15803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'P&amp;L Model'!$A$28:$A$29</c:f>
              <c:strCache>
                <c:ptCount val="2"/>
                <c:pt idx="0">
                  <c:v>Whole</c:v>
                </c:pt>
                <c:pt idx="1">
                  <c:v>Broken</c:v>
                </c:pt>
              </c:strCache>
            </c:strRef>
          </c:cat>
          <c:val>
            <c:numRef>
              <c:f>'P&amp;L Model'!$C$28:$C$29</c:f>
              <c:numCache>
                <c:formatCode>#,##0</c:formatCode>
                <c:ptCount val="2"/>
                <c:pt idx="0">
                  <c:v>230</c:v>
                </c:pt>
                <c:pt idx="1">
                  <c:v>-110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2-4A50-A6F3-ADA59260B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86324"/>
        <c:axId val="92703379"/>
      </c:barChart>
      <c:catAx>
        <c:axId val="62686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703379"/>
        <c:crosses val="autoZero"/>
        <c:auto val="1"/>
        <c:lblAlgn val="ctr"/>
        <c:lblOffset val="100"/>
        <c:noMultiLvlLbl val="0"/>
      </c:catAx>
      <c:valAx>
        <c:axId val="92703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6863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Buyer risk map: revenue vs recency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'Buyer Risk Model'!$M$4</c:f>
              <c:strCache>
                <c:ptCount val="1"/>
                <c:pt idx="0">
                  <c:v>Low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6"/>
            <c:spPr>
              <a:solidFill>
                <a:srgbClr val="15803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'Buyer Risk Model'!$L$5:$L$134</c:f>
              <c:numCache>
                <c:formatCode>General</c:formatCode>
                <c:ptCount val="33"/>
                <c:pt idx="0">
                  <c:v>1175</c:v>
                </c:pt>
                <c:pt idx="1">
                  <c:v>1322</c:v>
                </c:pt>
                <c:pt idx="2">
                  <c:v>987</c:v>
                </c:pt>
                <c:pt idx="3">
                  <c:v>937</c:v>
                </c:pt>
                <c:pt idx="4">
                  <c:v>545</c:v>
                </c:pt>
                <c:pt idx="5">
                  <c:v>1171</c:v>
                </c:pt>
                <c:pt idx="6">
                  <c:v>1051</c:v>
                </c:pt>
                <c:pt idx="7">
                  <c:v>1321</c:v>
                </c:pt>
                <c:pt idx="8">
                  <c:v>1051</c:v>
                </c:pt>
                <c:pt idx="9">
                  <c:v>1229</c:v>
                </c:pt>
                <c:pt idx="10">
                  <c:v>942</c:v>
                </c:pt>
                <c:pt idx="11">
                  <c:v>1048</c:v>
                </c:pt>
                <c:pt idx="12">
                  <c:v>896</c:v>
                </c:pt>
                <c:pt idx="13">
                  <c:v>787</c:v>
                </c:pt>
                <c:pt idx="14">
                  <c:v>922</c:v>
                </c:pt>
                <c:pt idx="15">
                  <c:v>1124</c:v>
                </c:pt>
                <c:pt idx="16">
                  <c:v>1106</c:v>
                </c:pt>
                <c:pt idx="17">
                  <c:v>770</c:v>
                </c:pt>
                <c:pt idx="18">
                  <c:v>851</c:v>
                </c:pt>
                <c:pt idx="19">
                  <c:v>925</c:v>
                </c:pt>
                <c:pt idx="20">
                  <c:v>921</c:v>
                </c:pt>
                <c:pt idx="21">
                  <c:v>918</c:v>
                </c:pt>
                <c:pt idx="22">
                  <c:v>1219</c:v>
                </c:pt>
                <c:pt idx="23">
                  <c:v>899</c:v>
                </c:pt>
                <c:pt idx="24">
                  <c:v>937</c:v>
                </c:pt>
                <c:pt idx="25">
                  <c:v>837</c:v>
                </c:pt>
                <c:pt idx="26">
                  <c:v>937</c:v>
                </c:pt>
                <c:pt idx="27">
                  <c:v>1050</c:v>
                </c:pt>
                <c:pt idx="28">
                  <c:v>1063</c:v>
                </c:pt>
                <c:pt idx="29">
                  <c:v>1093</c:v>
                </c:pt>
                <c:pt idx="30">
                  <c:v>862</c:v>
                </c:pt>
                <c:pt idx="31">
                  <c:v>899</c:v>
                </c:pt>
                <c:pt idx="32">
                  <c:v>912</c:v>
                </c:pt>
              </c:numCache>
            </c:numRef>
          </c:xVal>
          <c:yVal>
            <c:numRef>
              <c:f>'Buyer Risk Model'!$M$5:$M$134</c:f>
              <c:numCache>
                <c:formatCode>General</c:formatCode>
                <c:ptCount val="3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A3-4B6F-9380-62D14BE4FC03}"/>
            </c:ext>
          </c:extLst>
        </c:ser>
        <c:ser>
          <c:idx val="1"/>
          <c:order val="1"/>
          <c:tx>
            <c:strRef>
              <c:f>'Buyer Risk Model'!$N$4</c:f>
              <c:strCache>
                <c:ptCount val="1"/>
                <c:pt idx="0">
                  <c:v>Medium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6"/>
            <c:spPr>
              <a:solidFill>
                <a:srgbClr val="B4530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'Buyer Risk Model'!$L$5:$L$134</c:f>
              <c:numCache>
                <c:formatCode>General</c:formatCode>
                <c:ptCount val="33"/>
                <c:pt idx="0">
                  <c:v>1175</c:v>
                </c:pt>
                <c:pt idx="1">
                  <c:v>1322</c:v>
                </c:pt>
                <c:pt idx="2">
                  <c:v>987</c:v>
                </c:pt>
                <c:pt idx="3">
                  <c:v>937</c:v>
                </c:pt>
                <c:pt idx="4">
                  <c:v>545</c:v>
                </c:pt>
                <c:pt idx="5">
                  <c:v>1171</c:v>
                </c:pt>
                <c:pt idx="6">
                  <c:v>1051</c:v>
                </c:pt>
                <c:pt idx="7">
                  <c:v>1321</c:v>
                </c:pt>
                <c:pt idx="8">
                  <c:v>1051</c:v>
                </c:pt>
                <c:pt idx="9">
                  <c:v>1229</c:v>
                </c:pt>
                <c:pt idx="10">
                  <c:v>942</c:v>
                </c:pt>
                <c:pt idx="11">
                  <c:v>1048</c:v>
                </c:pt>
                <c:pt idx="12">
                  <c:v>896</c:v>
                </c:pt>
                <c:pt idx="13">
                  <c:v>787</c:v>
                </c:pt>
                <c:pt idx="14">
                  <c:v>922</c:v>
                </c:pt>
                <c:pt idx="15">
                  <c:v>1124</c:v>
                </c:pt>
                <c:pt idx="16">
                  <c:v>1106</c:v>
                </c:pt>
                <c:pt idx="17">
                  <c:v>770</c:v>
                </c:pt>
                <c:pt idx="18">
                  <c:v>851</c:v>
                </c:pt>
                <c:pt idx="19">
                  <c:v>925</c:v>
                </c:pt>
                <c:pt idx="20">
                  <c:v>921</c:v>
                </c:pt>
                <c:pt idx="21">
                  <c:v>918</c:v>
                </c:pt>
                <c:pt idx="22">
                  <c:v>1219</c:v>
                </c:pt>
                <c:pt idx="23">
                  <c:v>899</c:v>
                </c:pt>
                <c:pt idx="24">
                  <c:v>937</c:v>
                </c:pt>
                <c:pt idx="25">
                  <c:v>837</c:v>
                </c:pt>
                <c:pt idx="26">
                  <c:v>937</c:v>
                </c:pt>
                <c:pt idx="27">
                  <c:v>1050</c:v>
                </c:pt>
                <c:pt idx="28">
                  <c:v>1063</c:v>
                </c:pt>
                <c:pt idx="29">
                  <c:v>1093</c:v>
                </c:pt>
                <c:pt idx="30">
                  <c:v>862</c:v>
                </c:pt>
                <c:pt idx="31">
                  <c:v>899</c:v>
                </c:pt>
                <c:pt idx="32">
                  <c:v>912</c:v>
                </c:pt>
              </c:numCache>
            </c:numRef>
          </c:xVal>
          <c:yVal>
            <c:numRef>
              <c:f>'Buyer Risk Model'!$N$5:$N$134</c:f>
              <c:numCache>
                <c:formatCode>General</c:formatCode>
                <c:ptCount val="3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A3-4B6F-9380-62D14BE4FC03}"/>
            </c:ext>
          </c:extLst>
        </c:ser>
        <c:ser>
          <c:idx val="2"/>
          <c:order val="2"/>
          <c:tx>
            <c:strRef>
              <c:f>'Buyer Risk Model'!$O$4</c:f>
              <c:strCache>
                <c:ptCount val="1"/>
                <c:pt idx="0">
                  <c:v>High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6"/>
            <c:spPr>
              <a:solidFill>
                <a:srgbClr val="BE123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'Buyer Risk Model'!$L$5:$L$134</c:f>
              <c:numCache>
                <c:formatCode>General</c:formatCode>
                <c:ptCount val="33"/>
                <c:pt idx="0">
                  <c:v>1175</c:v>
                </c:pt>
                <c:pt idx="1">
                  <c:v>1322</c:v>
                </c:pt>
                <c:pt idx="2">
                  <c:v>987</c:v>
                </c:pt>
                <c:pt idx="3">
                  <c:v>937</c:v>
                </c:pt>
                <c:pt idx="4">
                  <c:v>545</c:v>
                </c:pt>
                <c:pt idx="5">
                  <c:v>1171</c:v>
                </c:pt>
                <c:pt idx="6">
                  <c:v>1051</c:v>
                </c:pt>
                <c:pt idx="7">
                  <c:v>1321</c:v>
                </c:pt>
                <c:pt idx="8">
                  <c:v>1051</c:v>
                </c:pt>
                <c:pt idx="9">
                  <c:v>1229</c:v>
                </c:pt>
                <c:pt idx="10">
                  <c:v>942</c:v>
                </c:pt>
                <c:pt idx="11">
                  <c:v>1048</c:v>
                </c:pt>
                <c:pt idx="12">
                  <c:v>896</c:v>
                </c:pt>
                <c:pt idx="13">
                  <c:v>787</c:v>
                </c:pt>
                <c:pt idx="14">
                  <c:v>922</c:v>
                </c:pt>
                <c:pt idx="15">
                  <c:v>1124</c:v>
                </c:pt>
                <c:pt idx="16">
                  <c:v>1106</c:v>
                </c:pt>
                <c:pt idx="17">
                  <c:v>770</c:v>
                </c:pt>
                <c:pt idx="18">
                  <c:v>851</c:v>
                </c:pt>
                <c:pt idx="19">
                  <c:v>925</c:v>
                </c:pt>
                <c:pt idx="20">
                  <c:v>921</c:v>
                </c:pt>
                <c:pt idx="21">
                  <c:v>918</c:v>
                </c:pt>
                <c:pt idx="22">
                  <c:v>1219</c:v>
                </c:pt>
                <c:pt idx="23">
                  <c:v>899</c:v>
                </c:pt>
                <c:pt idx="24">
                  <c:v>937</c:v>
                </c:pt>
                <c:pt idx="25">
                  <c:v>837</c:v>
                </c:pt>
                <c:pt idx="26">
                  <c:v>937</c:v>
                </c:pt>
                <c:pt idx="27">
                  <c:v>1050</c:v>
                </c:pt>
                <c:pt idx="28">
                  <c:v>1063</c:v>
                </c:pt>
                <c:pt idx="29">
                  <c:v>1093</c:v>
                </c:pt>
                <c:pt idx="30">
                  <c:v>862</c:v>
                </c:pt>
                <c:pt idx="31">
                  <c:v>899</c:v>
                </c:pt>
                <c:pt idx="32">
                  <c:v>912</c:v>
                </c:pt>
              </c:numCache>
            </c:numRef>
          </c:xVal>
          <c:yVal>
            <c:numRef>
              <c:f>'Buyer Risk Model'!$O$5:$O$134</c:f>
              <c:numCache>
                <c:formatCode>General</c:formatCode>
                <c:ptCount val="33"/>
                <c:pt idx="0">
                  <c:v>4715780</c:v>
                </c:pt>
                <c:pt idx="1">
                  <c:v>4000000</c:v>
                </c:pt>
                <c:pt idx="2">
                  <c:v>3765149</c:v>
                </c:pt>
                <c:pt idx="3">
                  <c:v>2746502</c:v>
                </c:pt>
                <c:pt idx="4">
                  <c:v>2506250</c:v>
                </c:pt>
                <c:pt idx="5">
                  <c:v>2298920</c:v>
                </c:pt>
                <c:pt idx="6">
                  <c:v>2260040</c:v>
                </c:pt>
                <c:pt idx="7">
                  <c:v>1771500</c:v>
                </c:pt>
                <c:pt idx="8">
                  <c:v>1620184</c:v>
                </c:pt>
                <c:pt idx="9">
                  <c:v>1433430</c:v>
                </c:pt>
                <c:pt idx="10">
                  <c:v>1076096</c:v>
                </c:pt>
                <c:pt idx="11">
                  <c:v>1010022</c:v>
                </c:pt>
                <c:pt idx="12">
                  <c:v>950000</c:v>
                </c:pt>
                <c:pt idx="13">
                  <c:v>840420</c:v>
                </c:pt>
                <c:pt idx="14">
                  <c:v>818292</c:v>
                </c:pt>
                <c:pt idx="15">
                  <c:v>697763</c:v>
                </c:pt>
                <c:pt idx="16">
                  <c:v>666667</c:v>
                </c:pt>
                <c:pt idx="17">
                  <c:v>603142</c:v>
                </c:pt>
                <c:pt idx="18">
                  <c:v>562857</c:v>
                </c:pt>
                <c:pt idx="19">
                  <c:v>380950</c:v>
                </c:pt>
                <c:pt idx="20">
                  <c:v>335431</c:v>
                </c:pt>
                <c:pt idx="21">
                  <c:v>334284</c:v>
                </c:pt>
                <c:pt idx="22">
                  <c:v>251448</c:v>
                </c:pt>
                <c:pt idx="23">
                  <c:v>241657</c:v>
                </c:pt>
                <c:pt idx="24">
                  <c:v>231867</c:v>
                </c:pt>
                <c:pt idx="25">
                  <c:v>213333</c:v>
                </c:pt>
                <c:pt idx="26">
                  <c:v>190480</c:v>
                </c:pt>
                <c:pt idx="27">
                  <c:v>190400</c:v>
                </c:pt>
                <c:pt idx="28">
                  <c:v>150361</c:v>
                </c:pt>
                <c:pt idx="29">
                  <c:v>140950</c:v>
                </c:pt>
                <c:pt idx="30">
                  <c:v>78208</c:v>
                </c:pt>
                <c:pt idx="31">
                  <c:v>72381</c:v>
                </c:pt>
                <c:pt idx="32">
                  <c:v>13462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A3-4B6F-9380-62D14BE4F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6736"/>
        <c:axId val="34922412"/>
      </c:scatterChart>
      <c:valAx>
        <c:axId val="133067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Recency (days)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922412"/>
        <c:crosses val="autoZero"/>
        <c:crossBetween val="midCat"/>
      </c:valAx>
      <c:valAx>
        <c:axId val="349224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330673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Buyers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'Buyer Risk Model'!$M$155</c:f>
              <c:strCache>
                <c:ptCount val="1"/>
                <c:pt idx="0">
                  <c:v>Buyers</c:v>
                </c:pt>
              </c:strCache>
            </c:strRef>
          </c:tx>
          <c:spPr>
            <a:solidFill>
              <a:srgbClr val="0F766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'Buyer Risk Model'!$L$156:$L$158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'Buyer Risk Model'!$M$156:$M$158</c:f>
              <c:numCache>
                <c:formatCode>General</c:formatCode>
                <c:ptCount val="3"/>
                <c:pt idx="0">
                  <c:v>7</c:v>
                </c:pt>
                <c:pt idx="1">
                  <c:v>90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7-4A9D-828D-BD5440EE1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77971"/>
        <c:axId val="37261713"/>
      </c:barChart>
      <c:catAx>
        <c:axId val="482779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261713"/>
        <c:crosses val="autoZero"/>
        <c:auto val="1"/>
        <c:lblAlgn val="ctr"/>
        <c:lblOffset val="100"/>
        <c:noMultiLvlLbl val="0"/>
      </c:catAx>
      <c:valAx>
        <c:axId val="37261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82779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ROC — illustrative LR (AUC=0.96)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'Buyer Risk Model'!$R$155</c:f>
              <c:strCache>
                <c:ptCount val="1"/>
                <c:pt idx="0">
                  <c:v>TPR</c:v>
                </c:pt>
              </c:strCache>
            </c:strRef>
          </c:tx>
          <c:spPr>
            <a:ln w="21960">
              <a:solidFill>
                <a:srgbClr val="0F766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'Buyer Risk Model'!$Q$156:$Q$165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5.5599999999999997E-2</c:v>
                </c:pt>
                <c:pt idx="4">
                  <c:v>5.5599999999999997E-2</c:v>
                </c:pt>
                <c:pt idx="5">
                  <c:v>0.22220000000000001</c:v>
                </c:pt>
                <c:pt idx="6">
                  <c:v>0.22220000000000001</c:v>
                </c:pt>
                <c:pt idx="7">
                  <c:v>0.55559999999999998</c:v>
                </c:pt>
                <c:pt idx="8">
                  <c:v>0.55559999999999998</c:v>
                </c:pt>
                <c:pt idx="9">
                  <c:v>1</c:v>
                </c:pt>
              </c:numCache>
            </c:numRef>
          </c:xVal>
          <c:yVal>
            <c:numRef>
              <c:f>'Buyer Risk Model'!$R$156:$R$165</c:f>
              <c:numCache>
                <c:formatCode>General</c:formatCode>
                <c:ptCount val="10"/>
                <c:pt idx="0">
                  <c:v>0</c:v>
                </c:pt>
                <c:pt idx="1">
                  <c:v>4.7600000000000003E-2</c:v>
                </c:pt>
                <c:pt idx="2">
                  <c:v>0.85709999999999997</c:v>
                </c:pt>
                <c:pt idx="3">
                  <c:v>0.85709999999999997</c:v>
                </c:pt>
                <c:pt idx="4">
                  <c:v>0.90480000000000005</c:v>
                </c:pt>
                <c:pt idx="5">
                  <c:v>0.90480000000000005</c:v>
                </c:pt>
                <c:pt idx="6">
                  <c:v>0.95240000000000002</c:v>
                </c:pt>
                <c:pt idx="7">
                  <c:v>0.95240000000000002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F5-4256-90E2-474911295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56141"/>
        <c:axId val="46373543"/>
      </c:scatterChart>
      <c:valAx>
        <c:axId val="723561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FPR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373543"/>
        <c:crosses val="autoZero"/>
        <c:crossBetween val="midCat"/>
      </c:valAx>
      <c:valAx>
        <c:axId val="463735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TPR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35614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Delay-risk drivers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'Buyer Risk Model'!$U$167</c:f>
              <c:strCache>
                <c:ptCount val="1"/>
              </c:strCache>
            </c:strRef>
          </c:tx>
          <c:spPr>
            <a:solidFill>
              <a:srgbClr val="B45309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'Buyer Risk Model'!$Q$168:$Q$173</c:f>
              <c:strCache>
                <c:ptCount val="6"/>
                <c:pt idx="0">
                  <c:v>revenue</c:v>
                </c:pt>
                <c:pt idx="1">
                  <c:v>orders</c:v>
                </c:pt>
                <c:pt idx="2">
                  <c:v>avg_order</c:v>
                </c:pt>
                <c:pt idx="3">
                  <c:v>recency</c:v>
                </c:pt>
                <c:pt idx="4">
                  <c:v>freq</c:v>
                </c:pt>
                <c:pt idx="5">
                  <c:v>tenure</c:v>
                </c:pt>
              </c:strCache>
            </c:strRef>
          </c:cat>
          <c:val>
            <c:numRef>
              <c:f>'Buyer Risk Model'!$U$168:$U$173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BE39-4708-9E9A-664C9C929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90956"/>
        <c:axId val="592592"/>
      </c:barChart>
      <c:catAx>
        <c:axId val="984909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2592"/>
        <c:crosses val="autoZero"/>
        <c:auto val="1"/>
        <c:lblAlgn val="ctr"/>
        <c:lblOffset val="100"/>
        <c:noMultiLvlLbl val="0"/>
      </c:catAx>
      <c:valAx>
        <c:axId val="59259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4909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Credit exposure by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'Buyer Tiers'!$C$3</c:f>
              <c:strCache>
                <c:ptCount val="1"/>
                <c:pt idx="0">
                  <c:v>Credit exposure (₹)</c:v>
                </c:pt>
              </c:strCache>
            </c:strRef>
          </c:tx>
          <c:spPr>
            <a:solidFill>
              <a:srgbClr val="0F766E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'Buyer Tiers'!$A$4:$A$6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'Buyer Tiers'!$C$4:$C$6</c:f>
              <c:numCache>
                <c:formatCode>#,##0</c:formatCode>
                <c:ptCount val="3"/>
                <c:pt idx="0">
                  <c:v>14125000</c:v>
                </c:pt>
                <c:pt idx="1">
                  <c:v>44005000</c:v>
                </c:pt>
                <c:pt idx="2">
                  <c:v>8961000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2-46B7-BA45-A33677AA9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738859"/>
        <c:axId val="22942074"/>
      </c:barChart>
      <c:catAx>
        <c:axId val="26738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942074"/>
        <c:crosses val="autoZero"/>
        <c:auto val="1"/>
        <c:lblAlgn val="ctr"/>
        <c:lblOffset val="100"/>
        <c:noMultiLvlLbl val="0"/>
      </c:catAx>
      <c:valAx>
        <c:axId val="22942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67388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Transactions — anomalies flagged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Anomalies!$K$5</c:f>
              <c:strCache>
                <c:ptCount val="1"/>
                <c:pt idx="0">
                  <c:v>Normal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3"/>
            <c:spPr>
              <a:solidFill>
                <a:srgbClr val="CBD5E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Anomalies!$J$6:$J$855</c:f>
              <c:numCache>
                <c:formatCode>General</c:formatCode>
                <c:ptCount val="8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</c:numCache>
            </c:numRef>
          </c:xVal>
          <c:yVal>
            <c:numRef>
              <c:f>Anomalies!$K$6:$K$855</c:f>
              <c:numCache>
                <c:formatCode>General</c:formatCode>
                <c:ptCount val="850"/>
                <c:pt idx="0">
                  <c:v>1718080</c:v>
                </c:pt>
                <c:pt idx="1">
                  <c:v>1771500</c:v>
                </c:pt>
                <c:pt idx="2">
                  <c:v>251448</c:v>
                </c:pt>
                <c:pt idx="3">
                  <c:v>285600</c:v>
                </c:pt>
                <c:pt idx="4">
                  <c:v>285714</c:v>
                </c:pt>
                <c:pt idx="5">
                  <c:v>459050</c:v>
                </c:pt>
                <c:pt idx="6">
                  <c:v>666667</c:v>
                </c:pt>
                <c:pt idx="7">
                  <c:v>95240</c:v>
                </c:pt>
                <c:pt idx="8">
                  <c:v>488800</c:v>
                </c:pt>
                <c:pt idx="9">
                  <c:v>216000</c:v>
                </c:pt>
                <c:pt idx="10">
                  <c:v>380950</c:v>
                </c:pt>
                <c:pt idx="11">
                  <c:v>152381</c:v>
                </c:pt>
                <c:pt idx="12">
                  <c:v>252000</c:v>
                </c:pt>
                <c:pt idx="14">
                  <c:v>936000</c:v>
                </c:pt>
                <c:pt idx="15">
                  <c:v>1523500</c:v>
                </c:pt>
                <c:pt idx="16">
                  <c:v>205500</c:v>
                </c:pt>
                <c:pt idx="17">
                  <c:v>1580950</c:v>
                </c:pt>
                <c:pt idx="18">
                  <c:v>1092000</c:v>
                </c:pt>
                <c:pt idx="19">
                  <c:v>2142857</c:v>
                </c:pt>
                <c:pt idx="20">
                  <c:v>423810</c:v>
                </c:pt>
                <c:pt idx="21">
                  <c:v>238096</c:v>
                </c:pt>
                <c:pt idx="22">
                  <c:v>952381</c:v>
                </c:pt>
                <c:pt idx="23">
                  <c:v>285715</c:v>
                </c:pt>
                <c:pt idx="24">
                  <c:v>481219</c:v>
                </c:pt>
                <c:pt idx="25">
                  <c:v>131690</c:v>
                </c:pt>
                <c:pt idx="26">
                  <c:v>952340</c:v>
                </c:pt>
                <c:pt idx="27">
                  <c:v>1169500</c:v>
                </c:pt>
                <c:pt idx="28">
                  <c:v>243628</c:v>
                </c:pt>
                <c:pt idx="29">
                  <c:v>526073</c:v>
                </c:pt>
                <c:pt idx="30">
                  <c:v>302860</c:v>
                </c:pt>
                <c:pt idx="31">
                  <c:v>980712</c:v>
                </c:pt>
                <c:pt idx="32">
                  <c:v>910585</c:v>
                </c:pt>
                <c:pt idx="33">
                  <c:v>892778</c:v>
                </c:pt>
                <c:pt idx="34">
                  <c:v>223528</c:v>
                </c:pt>
                <c:pt idx="35">
                  <c:v>296570</c:v>
                </c:pt>
                <c:pt idx="36">
                  <c:v>119040</c:v>
                </c:pt>
                <c:pt idx="37">
                  <c:v>878303</c:v>
                </c:pt>
                <c:pt idx="38">
                  <c:v>123810</c:v>
                </c:pt>
                <c:pt idx="39">
                  <c:v>958686</c:v>
                </c:pt>
                <c:pt idx="40">
                  <c:v>159000</c:v>
                </c:pt>
                <c:pt idx="41">
                  <c:v>104000</c:v>
                </c:pt>
                <c:pt idx="42">
                  <c:v>540652</c:v>
                </c:pt>
                <c:pt idx="43">
                  <c:v>695668</c:v>
                </c:pt>
                <c:pt idx="44">
                  <c:v>235144</c:v>
                </c:pt>
                <c:pt idx="45">
                  <c:v>306890</c:v>
                </c:pt>
                <c:pt idx="46">
                  <c:v>918134</c:v>
                </c:pt>
                <c:pt idx="47">
                  <c:v>904482</c:v>
                </c:pt>
                <c:pt idx="48">
                  <c:v>269331</c:v>
                </c:pt>
                <c:pt idx="49">
                  <c:v>885772</c:v>
                </c:pt>
                <c:pt idx="50">
                  <c:v>109000</c:v>
                </c:pt>
                <c:pt idx="51">
                  <c:v>172380</c:v>
                </c:pt>
                <c:pt idx="52">
                  <c:v>360038</c:v>
                </c:pt>
                <c:pt idx="53">
                  <c:v>877606</c:v>
                </c:pt>
                <c:pt idx="54">
                  <c:v>117047</c:v>
                </c:pt>
                <c:pt idx="55">
                  <c:v>783277</c:v>
                </c:pt>
                <c:pt idx="56">
                  <c:v>163296</c:v>
                </c:pt>
                <c:pt idx="57">
                  <c:v>531095</c:v>
                </c:pt>
                <c:pt idx="58">
                  <c:v>279334</c:v>
                </c:pt>
                <c:pt idx="59">
                  <c:v>1026289</c:v>
                </c:pt>
                <c:pt idx="60">
                  <c:v>163045</c:v>
                </c:pt>
                <c:pt idx="61">
                  <c:v>697763</c:v>
                </c:pt>
                <c:pt idx="62">
                  <c:v>660143</c:v>
                </c:pt>
                <c:pt idx="63">
                  <c:v>491150</c:v>
                </c:pt>
                <c:pt idx="64">
                  <c:v>260708</c:v>
                </c:pt>
                <c:pt idx="65">
                  <c:v>958958</c:v>
                </c:pt>
                <c:pt idx="66">
                  <c:v>339754</c:v>
                </c:pt>
                <c:pt idx="67">
                  <c:v>664915</c:v>
                </c:pt>
                <c:pt idx="68">
                  <c:v>150361</c:v>
                </c:pt>
                <c:pt idx="69">
                  <c:v>121905</c:v>
                </c:pt>
                <c:pt idx="70">
                  <c:v>641279</c:v>
                </c:pt>
                <c:pt idx="71">
                  <c:v>786229</c:v>
                </c:pt>
                <c:pt idx="72">
                  <c:v>85180</c:v>
                </c:pt>
                <c:pt idx="73">
                  <c:v>48191</c:v>
                </c:pt>
                <c:pt idx="74">
                  <c:v>372333</c:v>
                </c:pt>
                <c:pt idx="75">
                  <c:v>395262</c:v>
                </c:pt>
                <c:pt idx="76">
                  <c:v>117619</c:v>
                </c:pt>
                <c:pt idx="77">
                  <c:v>332257</c:v>
                </c:pt>
                <c:pt idx="78">
                  <c:v>182858</c:v>
                </c:pt>
                <c:pt idx="79">
                  <c:v>880619</c:v>
                </c:pt>
                <c:pt idx="80">
                  <c:v>282191</c:v>
                </c:pt>
                <c:pt idx="81">
                  <c:v>168096</c:v>
                </c:pt>
                <c:pt idx="82">
                  <c:v>320380</c:v>
                </c:pt>
                <c:pt idx="83">
                  <c:v>616194</c:v>
                </c:pt>
                <c:pt idx="84">
                  <c:v>197524</c:v>
                </c:pt>
                <c:pt idx="85">
                  <c:v>152384</c:v>
                </c:pt>
                <c:pt idx="86">
                  <c:v>656762</c:v>
                </c:pt>
                <c:pt idx="87">
                  <c:v>225620</c:v>
                </c:pt>
                <c:pt idx="88">
                  <c:v>123994</c:v>
                </c:pt>
                <c:pt idx="89">
                  <c:v>1076096</c:v>
                </c:pt>
                <c:pt idx="90">
                  <c:v>190480</c:v>
                </c:pt>
                <c:pt idx="91">
                  <c:v>602095</c:v>
                </c:pt>
                <c:pt idx="92">
                  <c:v>120248</c:v>
                </c:pt>
                <c:pt idx="93">
                  <c:v>620005</c:v>
                </c:pt>
                <c:pt idx="94">
                  <c:v>818292</c:v>
                </c:pt>
                <c:pt idx="95">
                  <c:v>335431</c:v>
                </c:pt>
                <c:pt idx="96">
                  <c:v>546672</c:v>
                </c:pt>
                <c:pt idx="97">
                  <c:v>13462</c:v>
                </c:pt>
                <c:pt idx="98">
                  <c:v>228572</c:v>
                </c:pt>
                <c:pt idx="99">
                  <c:v>290759</c:v>
                </c:pt>
                <c:pt idx="100">
                  <c:v>769566</c:v>
                </c:pt>
                <c:pt idx="101">
                  <c:v>157429</c:v>
                </c:pt>
                <c:pt idx="102">
                  <c:v>72381</c:v>
                </c:pt>
                <c:pt idx="103">
                  <c:v>475333</c:v>
                </c:pt>
                <c:pt idx="104">
                  <c:v>222812</c:v>
                </c:pt>
                <c:pt idx="105">
                  <c:v>70714</c:v>
                </c:pt>
                <c:pt idx="106">
                  <c:v>369864</c:v>
                </c:pt>
                <c:pt idx="107">
                  <c:v>108576</c:v>
                </c:pt>
                <c:pt idx="108">
                  <c:v>249524</c:v>
                </c:pt>
                <c:pt idx="109">
                  <c:v>391432</c:v>
                </c:pt>
                <c:pt idx="110">
                  <c:v>319902</c:v>
                </c:pt>
                <c:pt idx="111">
                  <c:v>315720</c:v>
                </c:pt>
                <c:pt idx="112">
                  <c:v>562857</c:v>
                </c:pt>
                <c:pt idx="113">
                  <c:v>97620</c:v>
                </c:pt>
                <c:pt idx="114">
                  <c:v>351048</c:v>
                </c:pt>
                <c:pt idx="115">
                  <c:v>252550</c:v>
                </c:pt>
                <c:pt idx="116">
                  <c:v>260940</c:v>
                </c:pt>
                <c:pt idx="117">
                  <c:v>516858</c:v>
                </c:pt>
                <c:pt idx="118">
                  <c:v>814281</c:v>
                </c:pt>
                <c:pt idx="119">
                  <c:v>414858</c:v>
                </c:pt>
                <c:pt idx="120">
                  <c:v>30000</c:v>
                </c:pt>
                <c:pt idx="121">
                  <c:v>43238</c:v>
                </c:pt>
                <c:pt idx="122">
                  <c:v>654758</c:v>
                </c:pt>
                <c:pt idx="123">
                  <c:v>161160</c:v>
                </c:pt>
                <c:pt idx="124">
                  <c:v>69524</c:v>
                </c:pt>
                <c:pt idx="125">
                  <c:v>286180</c:v>
                </c:pt>
                <c:pt idx="126">
                  <c:v>335715</c:v>
                </c:pt>
                <c:pt idx="127">
                  <c:v>426933</c:v>
                </c:pt>
                <c:pt idx="128">
                  <c:v>300387</c:v>
                </c:pt>
                <c:pt idx="129">
                  <c:v>108000</c:v>
                </c:pt>
                <c:pt idx="130">
                  <c:v>524714</c:v>
                </c:pt>
                <c:pt idx="131">
                  <c:v>108108</c:v>
                </c:pt>
                <c:pt idx="132">
                  <c:v>305958</c:v>
                </c:pt>
                <c:pt idx="133">
                  <c:v>119524</c:v>
                </c:pt>
                <c:pt idx="135">
                  <c:v>77142</c:v>
                </c:pt>
                <c:pt idx="136">
                  <c:v>108286</c:v>
                </c:pt>
                <c:pt idx="137">
                  <c:v>295120</c:v>
                </c:pt>
                <c:pt idx="138">
                  <c:v>362477</c:v>
                </c:pt>
                <c:pt idx="139">
                  <c:v>271428</c:v>
                </c:pt>
                <c:pt idx="140">
                  <c:v>334286</c:v>
                </c:pt>
                <c:pt idx="141">
                  <c:v>190480</c:v>
                </c:pt>
                <c:pt idx="142">
                  <c:v>831000</c:v>
                </c:pt>
                <c:pt idx="143">
                  <c:v>20952</c:v>
                </c:pt>
                <c:pt idx="144">
                  <c:v>22857</c:v>
                </c:pt>
                <c:pt idx="145">
                  <c:v>138765</c:v>
                </c:pt>
                <c:pt idx="146">
                  <c:v>239719</c:v>
                </c:pt>
                <c:pt idx="147">
                  <c:v>310762</c:v>
                </c:pt>
                <c:pt idx="148">
                  <c:v>330267</c:v>
                </c:pt>
                <c:pt idx="149">
                  <c:v>100477</c:v>
                </c:pt>
                <c:pt idx="150">
                  <c:v>626190</c:v>
                </c:pt>
                <c:pt idx="151">
                  <c:v>89136</c:v>
                </c:pt>
                <c:pt idx="152">
                  <c:v>155995</c:v>
                </c:pt>
                <c:pt idx="153">
                  <c:v>920183</c:v>
                </c:pt>
                <c:pt idx="154">
                  <c:v>140473</c:v>
                </c:pt>
                <c:pt idx="155">
                  <c:v>142381</c:v>
                </c:pt>
                <c:pt idx="156">
                  <c:v>116143</c:v>
                </c:pt>
                <c:pt idx="157">
                  <c:v>137140</c:v>
                </c:pt>
                <c:pt idx="158">
                  <c:v>178095</c:v>
                </c:pt>
                <c:pt idx="159">
                  <c:v>198095</c:v>
                </c:pt>
                <c:pt idx="160">
                  <c:v>295017</c:v>
                </c:pt>
                <c:pt idx="161">
                  <c:v>316300</c:v>
                </c:pt>
                <c:pt idx="162">
                  <c:v>1205205</c:v>
                </c:pt>
                <c:pt idx="163">
                  <c:v>798600</c:v>
                </c:pt>
                <c:pt idx="164">
                  <c:v>959239</c:v>
                </c:pt>
                <c:pt idx="165">
                  <c:v>221143</c:v>
                </c:pt>
                <c:pt idx="166">
                  <c:v>820476</c:v>
                </c:pt>
                <c:pt idx="167">
                  <c:v>360000</c:v>
                </c:pt>
                <c:pt idx="168">
                  <c:v>775629</c:v>
                </c:pt>
                <c:pt idx="169">
                  <c:v>153333</c:v>
                </c:pt>
                <c:pt idx="170">
                  <c:v>23430</c:v>
                </c:pt>
                <c:pt idx="171">
                  <c:v>565740</c:v>
                </c:pt>
                <c:pt idx="172">
                  <c:v>415324</c:v>
                </c:pt>
                <c:pt idx="173">
                  <c:v>183325</c:v>
                </c:pt>
                <c:pt idx="174">
                  <c:v>393730</c:v>
                </c:pt>
                <c:pt idx="175">
                  <c:v>148580</c:v>
                </c:pt>
                <c:pt idx="176">
                  <c:v>1188624</c:v>
                </c:pt>
                <c:pt idx="177">
                  <c:v>758095</c:v>
                </c:pt>
                <c:pt idx="178">
                  <c:v>211429</c:v>
                </c:pt>
                <c:pt idx="179">
                  <c:v>208080</c:v>
                </c:pt>
                <c:pt idx="180">
                  <c:v>213190</c:v>
                </c:pt>
                <c:pt idx="181">
                  <c:v>88575</c:v>
                </c:pt>
                <c:pt idx="182">
                  <c:v>215715</c:v>
                </c:pt>
                <c:pt idx="183">
                  <c:v>290000</c:v>
                </c:pt>
                <c:pt idx="184">
                  <c:v>358571</c:v>
                </c:pt>
                <c:pt idx="185">
                  <c:v>540476</c:v>
                </c:pt>
                <c:pt idx="186">
                  <c:v>647640</c:v>
                </c:pt>
                <c:pt idx="187">
                  <c:v>151334</c:v>
                </c:pt>
                <c:pt idx="188">
                  <c:v>854524</c:v>
                </c:pt>
                <c:pt idx="189">
                  <c:v>217143</c:v>
                </c:pt>
                <c:pt idx="190">
                  <c:v>227143</c:v>
                </c:pt>
                <c:pt idx="191">
                  <c:v>511335</c:v>
                </c:pt>
                <c:pt idx="192">
                  <c:v>217143</c:v>
                </c:pt>
                <c:pt idx="193">
                  <c:v>142380</c:v>
                </c:pt>
                <c:pt idx="194">
                  <c:v>230112</c:v>
                </c:pt>
                <c:pt idx="195">
                  <c:v>389732</c:v>
                </c:pt>
                <c:pt idx="196">
                  <c:v>575238</c:v>
                </c:pt>
                <c:pt idx="197">
                  <c:v>67720</c:v>
                </c:pt>
                <c:pt idx="198">
                  <c:v>148580</c:v>
                </c:pt>
                <c:pt idx="199">
                  <c:v>380894</c:v>
                </c:pt>
                <c:pt idx="200">
                  <c:v>538606</c:v>
                </c:pt>
                <c:pt idx="201">
                  <c:v>222642</c:v>
                </c:pt>
                <c:pt idx="202">
                  <c:v>470556</c:v>
                </c:pt>
                <c:pt idx="203">
                  <c:v>316667</c:v>
                </c:pt>
                <c:pt idx="204">
                  <c:v>371520</c:v>
                </c:pt>
                <c:pt idx="206">
                  <c:v>148287</c:v>
                </c:pt>
                <c:pt idx="207">
                  <c:v>120900</c:v>
                </c:pt>
                <c:pt idx="208">
                  <c:v>96720</c:v>
                </c:pt>
                <c:pt idx="209">
                  <c:v>175910</c:v>
                </c:pt>
                <c:pt idx="210">
                  <c:v>98100</c:v>
                </c:pt>
                <c:pt idx="211">
                  <c:v>913715</c:v>
                </c:pt>
                <c:pt idx="212">
                  <c:v>197160</c:v>
                </c:pt>
                <c:pt idx="213">
                  <c:v>315225</c:v>
                </c:pt>
                <c:pt idx="214">
                  <c:v>780952</c:v>
                </c:pt>
                <c:pt idx="215">
                  <c:v>418560</c:v>
                </c:pt>
                <c:pt idx="216">
                  <c:v>212143</c:v>
                </c:pt>
                <c:pt idx="217">
                  <c:v>361429</c:v>
                </c:pt>
                <c:pt idx="218">
                  <c:v>714286</c:v>
                </c:pt>
                <c:pt idx="219">
                  <c:v>260238</c:v>
                </c:pt>
                <c:pt idx="220">
                  <c:v>214286</c:v>
                </c:pt>
                <c:pt idx="221">
                  <c:v>357143</c:v>
                </c:pt>
                <c:pt idx="222">
                  <c:v>304764</c:v>
                </c:pt>
                <c:pt idx="223">
                  <c:v>201620</c:v>
                </c:pt>
                <c:pt idx="224">
                  <c:v>161334</c:v>
                </c:pt>
                <c:pt idx="225">
                  <c:v>18667</c:v>
                </c:pt>
                <c:pt idx="226">
                  <c:v>199048</c:v>
                </c:pt>
                <c:pt idx="227">
                  <c:v>222625</c:v>
                </c:pt>
                <c:pt idx="228">
                  <c:v>852286</c:v>
                </c:pt>
                <c:pt idx="229">
                  <c:v>867241</c:v>
                </c:pt>
                <c:pt idx="230">
                  <c:v>138096</c:v>
                </c:pt>
                <c:pt idx="231">
                  <c:v>18286</c:v>
                </c:pt>
                <c:pt idx="232">
                  <c:v>150480</c:v>
                </c:pt>
                <c:pt idx="233">
                  <c:v>1213842</c:v>
                </c:pt>
                <c:pt idx="234">
                  <c:v>171667</c:v>
                </c:pt>
                <c:pt idx="235">
                  <c:v>149336</c:v>
                </c:pt>
                <c:pt idx="236">
                  <c:v>281920</c:v>
                </c:pt>
                <c:pt idx="237">
                  <c:v>70950</c:v>
                </c:pt>
                <c:pt idx="238">
                  <c:v>362000</c:v>
                </c:pt>
                <c:pt idx="239">
                  <c:v>371622</c:v>
                </c:pt>
                <c:pt idx="240">
                  <c:v>179775</c:v>
                </c:pt>
                <c:pt idx="241">
                  <c:v>245520</c:v>
                </c:pt>
                <c:pt idx="242">
                  <c:v>348666</c:v>
                </c:pt>
                <c:pt idx="243">
                  <c:v>973817</c:v>
                </c:pt>
                <c:pt idx="244">
                  <c:v>294763</c:v>
                </c:pt>
                <c:pt idx="245">
                  <c:v>101429</c:v>
                </c:pt>
                <c:pt idx="246">
                  <c:v>215714</c:v>
                </c:pt>
                <c:pt idx="247">
                  <c:v>130952</c:v>
                </c:pt>
                <c:pt idx="248">
                  <c:v>26000</c:v>
                </c:pt>
                <c:pt idx="249">
                  <c:v>84762</c:v>
                </c:pt>
                <c:pt idx="250">
                  <c:v>384095</c:v>
                </c:pt>
                <c:pt idx="251">
                  <c:v>284762</c:v>
                </c:pt>
                <c:pt idx="252">
                  <c:v>190476</c:v>
                </c:pt>
                <c:pt idx="253">
                  <c:v>569048</c:v>
                </c:pt>
                <c:pt idx="254">
                  <c:v>49143</c:v>
                </c:pt>
                <c:pt idx="255">
                  <c:v>48810</c:v>
                </c:pt>
                <c:pt idx="256">
                  <c:v>550952</c:v>
                </c:pt>
                <c:pt idx="257">
                  <c:v>369048</c:v>
                </c:pt>
                <c:pt idx="258">
                  <c:v>412572</c:v>
                </c:pt>
                <c:pt idx="259">
                  <c:v>149286</c:v>
                </c:pt>
                <c:pt idx="260">
                  <c:v>399991</c:v>
                </c:pt>
                <c:pt idx="261">
                  <c:v>174190</c:v>
                </c:pt>
                <c:pt idx="262">
                  <c:v>538095</c:v>
                </c:pt>
                <c:pt idx="263">
                  <c:v>221667</c:v>
                </c:pt>
                <c:pt idx="264">
                  <c:v>189046</c:v>
                </c:pt>
                <c:pt idx="265">
                  <c:v>219810</c:v>
                </c:pt>
                <c:pt idx="266">
                  <c:v>507143</c:v>
                </c:pt>
                <c:pt idx="267">
                  <c:v>460460</c:v>
                </c:pt>
                <c:pt idx="268">
                  <c:v>73330</c:v>
                </c:pt>
                <c:pt idx="269">
                  <c:v>74762</c:v>
                </c:pt>
                <c:pt idx="271">
                  <c:v>1041429</c:v>
                </c:pt>
                <c:pt idx="272">
                  <c:v>143953</c:v>
                </c:pt>
                <c:pt idx="273">
                  <c:v>140667</c:v>
                </c:pt>
                <c:pt idx="274">
                  <c:v>320665</c:v>
                </c:pt>
                <c:pt idx="275">
                  <c:v>77086</c:v>
                </c:pt>
                <c:pt idx="276">
                  <c:v>221429</c:v>
                </c:pt>
                <c:pt idx="277">
                  <c:v>274857</c:v>
                </c:pt>
                <c:pt idx="278">
                  <c:v>572857</c:v>
                </c:pt>
                <c:pt idx="279">
                  <c:v>916250</c:v>
                </c:pt>
                <c:pt idx="280">
                  <c:v>254429</c:v>
                </c:pt>
                <c:pt idx="281">
                  <c:v>770857</c:v>
                </c:pt>
                <c:pt idx="282">
                  <c:v>1683200</c:v>
                </c:pt>
                <c:pt idx="283">
                  <c:v>732947</c:v>
                </c:pt>
                <c:pt idx="284">
                  <c:v>552619</c:v>
                </c:pt>
                <c:pt idx="285">
                  <c:v>490476</c:v>
                </c:pt>
                <c:pt idx="287">
                  <c:v>543810</c:v>
                </c:pt>
                <c:pt idx="288">
                  <c:v>952381</c:v>
                </c:pt>
                <c:pt idx="289">
                  <c:v>352381</c:v>
                </c:pt>
                <c:pt idx="290">
                  <c:v>252387</c:v>
                </c:pt>
                <c:pt idx="291">
                  <c:v>80960</c:v>
                </c:pt>
                <c:pt idx="292">
                  <c:v>833333</c:v>
                </c:pt>
                <c:pt idx="293">
                  <c:v>2863388</c:v>
                </c:pt>
                <c:pt idx="294">
                  <c:v>660714</c:v>
                </c:pt>
                <c:pt idx="295">
                  <c:v>1660304</c:v>
                </c:pt>
                <c:pt idx="296">
                  <c:v>1904762</c:v>
                </c:pt>
                <c:pt idx="297">
                  <c:v>619048</c:v>
                </c:pt>
                <c:pt idx="298">
                  <c:v>581487</c:v>
                </c:pt>
                <c:pt idx="299">
                  <c:v>447619</c:v>
                </c:pt>
                <c:pt idx="300">
                  <c:v>331048</c:v>
                </c:pt>
                <c:pt idx="301">
                  <c:v>474286</c:v>
                </c:pt>
                <c:pt idx="302">
                  <c:v>1267842</c:v>
                </c:pt>
                <c:pt idx="303">
                  <c:v>285731</c:v>
                </c:pt>
                <c:pt idx="304">
                  <c:v>919048</c:v>
                </c:pt>
                <c:pt idx="305">
                  <c:v>190464</c:v>
                </c:pt>
                <c:pt idx="306">
                  <c:v>778208</c:v>
                </c:pt>
                <c:pt idx="307">
                  <c:v>358095</c:v>
                </c:pt>
                <c:pt idx="308">
                  <c:v>308571</c:v>
                </c:pt>
                <c:pt idx="309">
                  <c:v>297143</c:v>
                </c:pt>
                <c:pt idx="310">
                  <c:v>595250</c:v>
                </c:pt>
                <c:pt idx="311">
                  <c:v>172952</c:v>
                </c:pt>
                <c:pt idx="312">
                  <c:v>476190</c:v>
                </c:pt>
                <c:pt idx="314">
                  <c:v>290880</c:v>
                </c:pt>
                <c:pt idx="315">
                  <c:v>242400</c:v>
                </c:pt>
                <c:pt idx="316">
                  <c:v>704286</c:v>
                </c:pt>
                <c:pt idx="317">
                  <c:v>267188</c:v>
                </c:pt>
                <c:pt idx="318">
                  <c:v>380952</c:v>
                </c:pt>
                <c:pt idx="319">
                  <c:v>476190</c:v>
                </c:pt>
                <c:pt idx="320">
                  <c:v>1656000</c:v>
                </c:pt>
                <c:pt idx="321">
                  <c:v>752381</c:v>
                </c:pt>
                <c:pt idx="322">
                  <c:v>544614</c:v>
                </c:pt>
                <c:pt idx="323">
                  <c:v>1824000</c:v>
                </c:pt>
                <c:pt idx="324">
                  <c:v>2207695</c:v>
                </c:pt>
                <c:pt idx="325">
                  <c:v>211758</c:v>
                </c:pt>
                <c:pt idx="327">
                  <c:v>804762</c:v>
                </c:pt>
                <c:pt idx="328">
                  <c:v>718095</c:v>
                </c:pt>
                <c:pt idx="329">
                  <c:v>476190</c:v>
                </c:pt>
                <c:pt idx="330">
                  <c:v>318200</c:v>
                </c:pt>
                <c:pt idx="331">
                  <c:v>587373</c:v>
                </c:pt>
                <c:pt idx="332">
                  <c:v>2788345</c:v>
                </c:pt>
                <c:pt idx="333">
                  <c:v>349988</c:v>
                </c:pt>
                <c:pt idx="334">
                  <c:v>2427576</c:v>
                </c:pt>
                <c:pt idx="335">
                  <c:v>2661953</c:v>
                </c:pt>
                <c:pt idx="336">
                  <c:v>224000</c:v>
                </c:pt>
                <c:pt idx="337">
                  <c:v>678096</c:v>
                </c:pt>
                <c:pt idx="338">
                  <c:v>323810</c:v>
                </c:pt>
                <c:pt idx="339">
                  <c:v>500000</c:v>
                </c:pt>
                <c:pt idx="340">
                  <c:v>411500</c:v>
                </c:pt>
                <c:pt idx="341">
                  <c:v>2500000</c:v>
                </c:pt>
                <c:pt idx="342">
                  <c:v>97300</c:v>
                </c:pt>
                <c:pt idx="343">
                  <c:v>2644763</c:v>
                </c:pt>
                <c:pt idx="344">
                  <c:v>500000</c:v>
                </c:pt>
                <c:pt idx="345">
                  <c:v>285714</c:v>
                </c:pt>
                <c:pt idx="346">
                  <c:v>2455518</c:v>
                </c:pt>
                <c:pt idx="347">
                  <c:v>1661905</c:v>
                </c:pt>
                <c:pt idx="348">
                  <c:v>742857</c:v>
                </c:pt>
                <c:pt idx="349">
                  <c:v>805714</c:v>
                </c:pt>
                <c:pt idx="350">
                  <c:v>3619000</c:v>
                </c:pt>
                <c:pt idx="351">
                  <c:v>1417143</c:v>
                </c:pt>
                <c:pt idx="352">
                  <c:v>1591798</c:v>
                </c:pt>
                <c:pt idx="353">
                  <c:v>260702</c:v>
                </c:pt>
                <c:pt idx="354">
                  <c:v>1857143</c:v>
                </c:pt>
                <c:pt idx="355">
                  <c:v>238095</c:v>
                </c:pt>
                <c:pt idx="356">
                  <c:v>3788472</c:v>
                </c:pt>
                <c:pt idx="357">
                  <c:v>623810</c:v>
                </c:pt>
                <c:pt idx="358">
                  <c:v>1292480</c:v>
                </c:pt>
                <c:pt idx="359">
                  <c:v>1380952</c:v>
                </c:pt>
                <c:pt idx="360">
                  <c:v>1379680</c:v>
                </c:pt>
                <c:pt idx="361">
                  <c:v>1600248</c:v>
                </c:pt>
                <c:pt idx="362">
                  <c:v>336648</c:v>
                </c:pt>
                <c:pt idx="363">
                  <c:v>952380</c:v>
                </c:pt>
                <c:pt idx="364">
                  <c:v>438095</c:v>
                </c:pt>
                <c:pt idx="365">
                  <c:v>1071440</c:v>
                </c:pt>
                <c:pt idx="366">
                  <c:v>3428655</c:v>
                </c:pt>
                <c:pt idx="367">
                  <c:v>1051872</c:v>
                </c:pt>
                <c:pt idx="368">
                  <c:v>473213</c:v>
                </c:pt>
                <c:pt idx="369">
                  <c:v>661905</c:v>
                </c:pt>
                <c:pt idx="371">
                  <c:v>566667</c:v>
                </c:pt>
                <c:pt idx="372">
                  <c:v>187810</c:v>
                </c:pt>
                <c:pt idx="373">
                  <c:v>948430</c:v>
                </c:pt>
                <c:pt idx="374">
                  <c:v>799953</c:v>
                </c:pt>
                <c:pt idx="375">
                  <c:v>238095</c:v>
                </c:pt>
                <c:pt idx="376">
                  <c:v>860715</c:v>
                </c:pt>
                <c:pt idx="377">
                  <c:v>380810</c:v>
                </c:pt>
                <c:pt idx="378">
                  <c:v>690952</c:v>
                </c:pt>
                <c:pt idx="379">
                  <c:v>742571</c:v>
                </c:pt>
                <c:pt idx="380">
                  <c:v>361905</c:v>
                </c:pt>
                <c:pt idx="381">
                  <c:v>809524</c:v>
                </c:pt>
                <c:pt idx="383">
                  <c:v>816000</c:v>
                </c:pt>
                <c:pt idx="384">
                  <c:v>334095</c:v>
                </c:pt>
                <c:pt idx="385">
                  <c:v>630476</c:v>
                </c:pt>
                <c:pt idx="386">
                  <c:v>1390000</c:v>
                </c:pt>
                <c:pt idx="387">
                  <c:v>489300</c:v>
                </c:pt>
                <c:pt idx="388">
                  <c:v>229744</c:v>
                </c:pt>
                <c:pt idx="389">
                  <c:v>102286</c:v>
                </c:pt>
                <c:pt idx="390">
                  <c:v>190476</c:v>
                </c:pt>
                <c:pt idx="392">
                  <c:v>466190</c:v>
                </c:pt>
                <c:pt idx="393">
                  <c:v>476190</c:v>
                </c:pt>
                <c:pt idx="394">
                  <c:v>226572</c:v>
                </c:pt>
                <c:pt idx="395">
                  <c:v>1308382</c:v>
                </c:pt>
                <c:pt idx="396">
                  <c:v>285713</c:v>
                </c:pt>
                <c:pt idx="397">
                  <c:v>704762</c:v>
                </c:pt>
                <c:pt idx="398">
                  <c:v>285714</c:v>
                </c:pt>
                <c:pt idx="399">
                  <c:v>110190</c:v>
                </c:pt>
                <c:pt idx="400">
                  <c:v>952381</c:v>
                </c:pt>
                <c:pt idx="401">
                  <c:v>209524</c:v>
                </c:pt>
                <c:pt idx="402">
                  <c:v>1177781</c:v>
                </c:pt>
                <c:pt idx="403">
                  <c:v>171429</c:v>
                </c:pt>
                <c:pt idx="404">
                  <c:v>63905</c:v>
                </c:pt>
                <c:pt idx="405">
                  <c:v>210000</c:v>
                </c:pt>
                <c:pt idx="406">
                  <c:v>809524</c:v>
                </c:pt>
                <c:pt idx="407">
                  <c:v>680048</c:v>
                </c:pt>
                <c:pt idx="408">
                  <c:v>97810</c:v>
                </c:pt>
                <c:pt idx="409">
                  <c:v>290476</c:v>
                </c:pt>
                <c:pt idx="411">
                  <c:v>247620</c:v>
                </c:pt>
                <c:pt idx="413">
                  <c:v>174286</c:v>
                </c:pt>
                <c:pt idx="414">
                  <c:v>2638000</c:v>
                </c:pt>
                <c:pt idx="415">
                  <c:v>1820000</c:v>
                </c:pt>
                <c:pt idx="416">
                  <c:v>190000</c:v>
                </c:pt>
                <c:pt idx="417">
                  <c:v>1000000</c:v>
                </c:pt>
                <c:pt idx="418">
                  <c:v>871400</c:v>
                </c:pt>
                <c:pt idx="419">
                  <c:v>358000</c:v>
                </c:pt>
                <c:pt idx="420">
                  <c:v>950000</c:v>
                </c:pt>
                <c:pt idx="421">
                  <c:v>308380</c:v>
                </c:pt>
                <c:pt idx="423">
                  <c:v>238100</c:v>
                </c:pt>
                <c:pt idx="424">
                  <c:v>1714286</c:v>
                </c:pt>
                <c:pt idx="425">
                  <c:v>466667</c:v>
                </c:pt>
                <c:pt idx="426">
                  <c:v>152381</c:v>
                </c:pt>
                <c:pt idx="427">
                  <c:v>72236</c:v>
                </c:pt>
                <c:pt idx="428">
                  <c:v>1309524</c:v>
                </c:pt>
                <c:pt idx="429">
                  <c:v>1285714</c:v>
                </c:pt>
                <c:pt idx="430">
                  <c:v>190476</c:v>
                </c:pt>
                <c:pt idx="431">
                  <c:v>176190</c:v>
                </c:pt>
                <c:pt idx="432">
                  <c:v>2506250</c:v>
                </c:pt>
                <c:pt idx="433">
                  <c:v>2393566</c:v>
                </c:pt>
                <c:pt idx="434">
                  <c:v>301714</c:v>
                </c:pt>
                <c:pt idx="435">
                  <c:v>437580</c:v>
                </c:pt>
                <c:pt idx="436">
                  <c:v>952400</c:v>
                </c:pt>
                <c:pt idx="437">
                  <c:v>280000</c:v>
                </c:pt>
                <c:pt idx="438">
                  <c:v>1383700</c:v>
                </c:pt>
                <c:pt idx="439">
                  <c:v>2314680</c:v>
                </c:pt>
                <c:pt idx="440">
                  <c:v>323800</c:v>
                </c:pt>
                <c:pt idx="441">
                  <c:v>453320</c:v>
                </c:pt>
                <c:pt idx="442">
                  <c:v>1190476</c:v>
                </c:pt>
                <c:pt idx="443">
                  <c:v>695238</c:v>
                </c:pt>
                <c:pt idx="444">
                  <c:v>688571</c:v>
                </c:pt>
                <c:pt idx="445">
                  <c:v>2220017</c:v>
                </c:pt>
                <c:pt idx="446">
                  <c:v>1668600</c:v>
                </c:pt>
                <c:pt idx="447">
                  <c:v>952381</c:v>
                </c:pt>
                <c:pt idx="448">
                  <c:v>860769</c:v>
                </c:pt>
                <c:pt idx="449">
                  <c:v>1122115</c:v>
                </c:pt>
                <c:pt idx="450">
                  <c:v>780618</c:v>
                </c:pt>
                <c:pt idx="451">
                  <c:v>1559356</c:v>
                </c:pt>
                <c:pt idx="452">
                  <c:v>1427800</c:v>
                </c:pt>
                <c:pt idx="454">
                  <c:v>577020</c:v>
                </c:pt>
                <c:pt idx="456">
                  <c:v>1357000</c:v>
                </c:pt>
                <c:pt idx="457">
                  <c:v>430100</c:v>
                </c:pt>
                <c:pt idx="458">
                  <c:v>477400</c:v>
                </c:pt>
                <c:pt idx="459">
                  <c:v>477400</c:v>
                </c:pt>
                <c:pt idx="460">
                  <c:v>585280</c:v>
                </c:pt>
                <c:pt idx="461">
                  <c:v>217002</c:v>
                </c:pt>
                <c:pt idx="463">
                  <c:v>826970</c:v>
                </c:pt>
                <c:pt idx="464">
                  <c:v>247329</c:v>
                </c:pt>
                <c:pt idx="465">
                  <c:v>699000</c:v>
                </c:pt>
                <c:pt idx="466">
                  <c:v>264369</c:v>
                </c:pt>
                <c:pt idx="467">
                  <c:v>684128</c:v>
                </c:pt>
                <c:pt idx="468">
                  <c:v>397050</c:v>
                </c:pt>
                <c:pt idx="469">
                  <c:v>259820</c:v>
                </c:pt>
                <c:pt idx="470">
                  <c:v>731936</c:v>
                </c:pt>
                <c:pt idx="471">
                  <c:v>178500</c:v>
                </c:pt>
                <c:pt idx="472">
                  <c:v>127500</c:v>
                </c:pt>
                <c:pt idx="473">
                  <c:v>723405</c:v>
                </c:pt>
                <c:pt idx="474">
                  <c:v>900964</c:v>
                </c:pt>
                <c:pt idx="475">
                  <c:v>904264</c:v>
                </c:pt>
                <c:pt idx="476">
                  <c:v>952000</c:v>
                </c:pt>
                <c:pt idx="477">
                  <c:v>952000</c:v>
                </c:pt>
                <c:pt idx="478">
                  <c:v>114240</c:v>
                </c:pt>
                <c:pt idx="479">
                  <c:v>919356</c:v>
                </c:pt>
                <c:pt idx="480">
                  <c:v>952380</c:v>
                </c:pt>
                <c:pt idx="481">
                  <c:v>952380</c:v>
                </c:pt>
                <c:pt idx="482">
                  <c:v>285840</c:v>
                </c:pt>
                <c:pt idx="483">
                  <c:v>908189</c:v>
                </c:pt>
                <c:pt idx="484">
                  <c:v>466286</c:v>
                </c:pt>
                <c:pt idx="485">
                  <c:v>692897</c:v>
                </c:pt>
                <c:pt idx="486">
                  <c:v>471095</c:v>
                </c:pt>
                <c:pt idx="487">
                  <c:v>1325098</c:v>
                </c:pt>
                <c:pt idx="488">
                  <c:v>95238</c:v>
                </c:pt>
                <c:pt idx="489">
                  <c:v>313716</c:v>
                </c:pt>
                <c:pt idx="490">
                  <c:v>246620</c:v>
                </c:pt>
                <c:pt idx="491">
                  <c:v>190480</c:v>
                </c:pt>
                <c:pt idx="492">
                  <c:v>613276</c:v>
                </c:pt>
                <c:pt idx="493">
                  <c:v>72000</c:v>
                </c:pt>
                <c:pt idx="494">
                  <c:v>228580</c:v>
                </c:pt>
                <c:pt idx="495">
                  <c:v>13450</c:v>
                </c:pt>
                <c:pt idx="496">
                  <c:v>313712</c:v>
                </c:pt>
                <c:pt idx="497">
                  <c:v>243575</c:v>
                </c:pt>
                <c:pt idx="498">
                  <c:v>252478</c:v>
                </c:pt>
                <c:pt idx="499">
                  <c:v>667857</c:v>
                </c:pt>
                <c:pt idx="500">
                  <c:v>532698</c:v>
                </c:pt>
                <c:pt idx="501">
                  <c:v>619060</c:v>
                </c:pt>
                <c:pt idx="502">
                  <c:v>457143</c:v>
                </c:pt>
                <c:pt idx="503">
                  <c:v>315575</c:v>
                </c:pt>
                <c:pt idx="504">
                  <c:v>1082471</c:v>
                </c:pt>
                <c:pt idx="505">
                  <c:v>183198</c:v>
                </c:pt>
                <c:pt idx="506">
                  <c:v>292892</c:v>
                </c:pt>
                <c:pt idx="507">
                  <c:v>100125</c:v>
                </c:pt>
                <c:pt idx="508">
                  <c:v>190400</c:v>
                </c:pt>
                <c:pt idx="509">
                  <c:v>365730</c:v>
                </c:pt>
                <c:pt idx="510">
                  <c:v>45000</c:v>
                </c:pt>
                <c:pt idx="511">
                  <c:v>55000</c:v>
                </c:pt>
                <c:pt idx="512">
                  <c:v>70000</c:v>
                </c:pt>
                <c:pt idx="513">
                  <c:v>296790</c:v>
                </c:pt>
                <c:pt idx="514">
                  <c:v>301529</c:v>
                </c:pt>
                <c:pt idx="515">
                  <c:v>368444</c:v>
                </c:pt>
                <c:pt idx="516">
                  <c:v>603362</c:v>
                </c:pt>
                <c:pt idx="517">
                  <c:v>480061</c:v>
                </c:pt>
                <c:pt idx="518">
                  <c:v>679910</c:v>
                </c:pt>
                <c:pt idx="519">
                  <c:v>1067000</c:v>
                </c:pt>
                <c:pt idx="520">
                  <c:v>860175</c:v>
                </c:pt>
                <c:pt idx="521">
                  <c:v>1446956</c:v>
                </c:pt>
                <c:pt idx="522">
                  <c:v>987925</c:v>
                </c:pt>
                <c:pt idx="523">
                  <c:v>688257</c:v>
                </c:pt>
                <c:pt idx="524">
                  <c:v>66857</c:v>
                </c:pt>
                <c:pt idx="525">
                  <c:v>231867</c:v>
                </c:pt>
                <c:pt idx="526">
                  <c:v>808857</c:v>
                </c:pt>
                <c:pt idx="527">
                  <c:v>274620</c:v>
                </c:pt>
                <c:pt idx="528">
                  <c:v>182150</c:v>
                </c:pt>
                <c:pt idx="529">
                  <c:v>334284</c:v>
                </c:pt>
                <c:pt idx="530">
                  <c:v>825806</c:v>
                </c:pt>
                <c:pt idx="531">
                  <c:v>174800</c:v>
                </c:pt>
                <c:pt idx="532">
                  <c:v>389637</c:v>
                </c:pt>
                <c:pt idx="533">
                  <c:v>82336</c:v>
                </c:pt>
                <c:pt idx="534">
                  <c:v>649070</c:v>
                </c:pt>
                <c:pt idx="535">
                  <c:v>78208</c:v>
                </c:pt>
                <c:pt idx="536">
                  <c:v>315720</c:v>
                </c:pt>
                <c:pt idx="537">
                  <c:v>691874</c:v>
                </c:pt>
                <c:pt idx="538">
                  <c:v>412381</c:v>
                </c:pt>
                <c:pt idx="539">
                  <c:v>46800</c:v>
                </c:pt>
                <c:pt idx="540">
                  <c:v>560429</c:v>
                </c:pt>
                <c:pt idx="541">
                  <c:v>158661</c:v>
                </c:pt>
                <c:pt idx="542">
                  <c:v>213333</c:v>
                </c:pt>
                <c:pt idx="543">
                  <c:v>433138</c:v>
                </c:pt>
                <c:pt idx="544">
                  <c:v>195859</c:v>
                </c:pt>
                <c:pt idx="545">
                  <c:v>596468</c:v>
                </c:pt>
                <c:pt idx="546">
                  <c:v>1360476</c:v>
                </c:pt>
                <c:pt idx="547">
                  <c:v>139050</c:v>
                </c:pt>
                <c:pt idx="548">
                  <c:v>150302</c:v>
                </c:pt>
                <c:pt idx="549">
                  <c:v>936476</c:v>
                </c:pt>
                <c:pt idx="550">
                  <c:v>277144</c:v>
                </c:pt>
                <c:pt idx="551">
                  <c:v>308372</c:v>
                </c:pt>
                <c:pt idx="552">
                  <c:v>149999</c:v>
                </c:pt>
                <c:pt idx="553">
                  <c:v>110468</c:v>
                </c:pt>
                <c:pt idx="555">
                  <c:v>285371</c:v>
                </c:pt>
                <c:pt idx="556">
                  <c:v>765000</c:v>
                </c:pt>
                <c:pt idx="557">
                  <c:v>456571</c:v>
                </c:pt>
                <c:pt idx="558">
                  <c:v>385532</c:v>
                </c:pt>
                <c:pt idx="559">
                  <c:v>368290</c:v>
                </c:pt>
                <c:pt idx="560">
                  <c:v>131143</c:v>
                </c:pt>
                <c:pt idx="561">
                  <c:v>266195</c:v>
                </c:pt>
                <c:pt idx="562">
                  <c:v>400925</c:v>
                </c:pt>
                <c:pt idx="563">
                  <c:v>615512</c:v>
                </c:pt>
                <c:pt idx="564">
                  <c:v>361619</c:v>
                </c:pt>
                <c:pt idx="565">
                  <c:v>194428</c:v>
                </c:pt>
                <c:pt idx="566">
                  <c:v>337000</c:v>
                </c:pt>
                <c:pt idx="567">
                  <c:v>523810</c:v>
                </c:pt>
                <c:pt idx="568">
                  <c:v>303714</c:v>
                </c:pt>
                <c:pt idx="569">
                  <c:v>521904</c:v>
                </c:pt>
                <c:pt idx="570">
                  <c:v>157525</c:v>
                </c:pt>
                <c:pt idx="571">
                  <c:v>476200</c:v>
                </c:pt>
                <c:pt idx="572">
                  <c:v>549390</c:v>
                </c:pt>
                <c:pt idx="573">
                  <c:v>167049</c:v>
                </c:pt>
                <c:pt idx="574">
                  <c:v>99190</c:v>
                </c:pt>
                <c:pt idx="575">
                  <c:v>98000</c:v>
                </c:pt>
                <c:pt idx="576">
                  <c:v>198571</c:v>
                </c:pt>
                <c:pt idx="577">
                  <c:v>10476</c:v>
                </c:pt>
                <c:pt idx="578">
                  <c:v>294090</c:v>
                </c:pt>
                <c:pt idx="579">
                  <c:v>119048</c:v>
                </c:pt>
                <c:pt idx="580">
                  <c:v>182286</c:v>
                </c:pt>
                <c:pt idx="581">
                  <c:v>216190</c:v>
                </c:pt>
                <c:pt idx="582">
                  <c:v>660489</c:v>
                </c:pt>
                <c:pt idx="583">
                  <c:v>239095</c:v>
                </c:pt>
                <c:pt idx="584">
                  <c:v>630952</c:v>
                </c:pt>
                <c:pt idx="585">
                  <c:v>235239</c:v>
                </c:pt>
                <c:pt idx="586">
                  <c:v>147715</c:v>
                </c:pt>
                <c:pt idx="587">
                  <c:v>157650</c:v>
                </c:pt>
                <c:pt idx="588">
                  <c:v>154763</c:v>
                </c:pt>
                <c:pt idx="589">
                  <c:v>372645</c:v>
                </c:pt>
                <c:pt idx="590">
                  <c:v>518100</c:v>
                </c:pt>
                <c:pt idx="591">
                  <c:v>105238</c:v>
                </c:pt>
                <c:pt idx="592">
                  <c:v>437810</c:v>
                </c:pt>
                <c:pt idx="593">
                  <c:v>647145</c:v>
                </c:pt>
                <c:pt idx="594">
                  <c:v>444323</c:v>
                </c:pt>
                <c:pt idx="595">
                  <c:v>678476</c:v>
                </c:pt>
                <c:pt idx="596">
                  <c:v>743601</c:v>
                </c:pt>
                <c:pt idx="597">
                  <c:v>652858</c:v>
                </c:pt>
                <c:pt idx="598">
                  <c:v>672858</c:v>
                </c:pt>
                <c:pt idx="599">
                  <c:v>57620</c:v>
                </c:pt>
                <c:pt idx="600">
                  <c:v>789952</c:v>
                </c:pt>
                <c:pt idx="601">
                  <c:v>342873</c:v>
                </c:pt>
                <c:pt idx="602">
                  <c:v>171621</c:v>
                </c:pt>
                <c:pt idx="603">
                  <c:v>336000</c:v>
                </c:pt>
                <c:pt idx="604">
                  <c:v>886667</c:v>
                </c:pt>
                <c:pt idx="605">
                  <c:v>480668</c:v>
                </c:pt>
                <c:pt idx="606">
                  <c:v>181906</c:v>
                </c:pt>
                <c:pt idx="607">
                  <c:v>790096</c:v>
                </c:pt>
                <c:pt idx="608">
                  <c:v>307049</c:v>
                </c:pt>
                <c:pt idx="609">
                  <c:v>243810</c:v>
                </c:pt>
                <c:pt idx="610">
                  <c:v>80000</c:v>
                </c:pt>
                <c:pt idx="611">
                  <c:v>267143</c:v>
                </c:pt>
                <c:pt idx="612">
                  <c:v>90476</c:v>
                </c:pt>
                <c:pt idx="613">
                  <c:v>482858</c:v>
                </c:pt>
                <c:pt idx="614">
                  <c:v>76190</c:v>
                </c:pt>
                <c:pt idx="615">
                  <c:v>2037765</c:v>
                </c:pt>
                <c:pt idx="616">
                  <c:v>938288</c:v>
                </c:pt>
                <c:pt idx="617">
                  <c:v>699950</c:v>
                </c:pt>
                <c:pt idx="618">
                  <c:v>1188576</c:v>
                </c:pt>
                <c:pt idx="619">
                  <c:v>480000</c:v>
                </c:pt>
                <c:pt idx="620">
                  <c:v>446667</c:v>
                </c:pt>
                <c:pt idx="621">
                  <c:v>63810</c:v>
                </c:pt>
                <c:pt idx="622">
                  <c:v>580190</c:v>
                </c:pt>
                <c:pt idx="624">
                  <c:v>71428</c:v>
                </c:pt>
                <c:pt idx="625">
                  <c:v>221862</c:v>
                </c:pt>
                <c:pt idx="626">
                  <c:v>1010667</c:v>
                </c:pt>
                <c:pt idx="627">
                  <c:v>2038774</c:v>
                </c:pt>
                <c:pt idx="628">
                  <c:v>194191</c:v>
                </c:pt>
                <c:pt idx="629">
                  <c:v>247380</c:v>
                </c:pt>
                <c:pt idx="630">
                  <c:v>372758</c:v>
                </c:pt>
                <c:pt idx="631">
                  <c:v>285702</c:v>
                </c:pt>
                <c:pt idx="632">
                  <c:v>978110</c:v>
                </c:pt>
                <c:pt idx="633">
                  <c:v>200148</c:v>
                </c:pt>
                <c:pt idx="634">
                  <c:v>624174</c:v>
                </c:pt>
                <c:pt idx="635">
                  <c:v>350000</c:v>
                </c:pt>
                <c:pt idx="636">
                  <c:v>949860</c:v>
                </c:pt>
                <c:pt idx="637">
                  <c:v>799431</c:v>
                </c:pt>
                <c:pt idx="638">
                  <c:v>89572</c:v>
                </c:pt>
                <c:pt idx="639">
                  <c:v>368985</c:v>
                </c:pt>
                <c:pt idx="640">
                  <c:v>273619</c:v>
                </c:pt>
                <c:pt idx="641">
                  <c:v>330952</c:v>
                </c:pt>
                <c:pt idx="642">
                  <c:v>105714</c:v>
                </c:pt>
                <c:pt idx="643">
                  <c:v>352400</c:v>
                </c:pt>
                <c:pt idx="644">
                  <c:v>212850</c:v>
                </c:pt>
                <c:pt idx="645">
                  <c:v>1679920</c:v>
                </c:pt>
                <c:pt idx="646">
                  <c:v>376200</c:v>
                </c:pt>
                <c:pt idx="647">
                  <c:v>312885</c:v>
                </c:pt>
                <c:pt idx="648">
                  <c:v>141900</c:v>
                </c:pt>
                <c:pt idx="649">
                  <c:v>1436180</c:v>
                </c:pt>
                <c:pt idx="650">
                  <c:v>382584</c:v>
                </c:pt>
                <c:pt idx="651">
                  <c:v>1142661</c:v>
                </c:pt>
                <c:pt idx="652">
                  <c:v>279520</c:v>
                </c:pt>
                <c:pt idx="653">
                  <c:v>274858</c:v>
                </c:pt>
                <c:pt idx="654">
                  <c:v>1062667</c:v>
                </c:pt>
                <c:pt idx="655">
                  <c:v>1190572</c:v>
                </c:pt>
                <c:pt idx="656">
                  <c:v>396048</c:v>
                </c:pt>
                <c:pt idx="657">
                  <c:v>958716</c:v>
                </c:pt>
                <c:pt idx="658">
                  <c:v>224575</c:v>
                </c:pt>
                <c:pt idx="659">
                  <c:v>539238</c:v>
                </c:pt>
                <c:pt idx="660">
                  <c:v>636666</c:v>
                </c:pt>
                <c:pt idx="661">
                  <c:v>1264858</c:v>
                </c:pt>
                <c:pt idx="662">
                  <c:v>1240150</c:v>
                </c:pt>
                <c:pt idx="663">
                  <c:v>458092</c:v>
                </c:pt>
                <c:pt idx="664">
                  <c:v>660015</c:v>
                </c:pt>
                <c:pt idx="665">
                  <c:v>598095</c:v>
                </c:pt>
                <c:pt idx="667">
                  <c:v>313143</c:v>
                </c:pt>
                <c:pt idx="668">
                  <c:v>1416333</c:v>
                </c:pt>
                <c:pt idx="669">
                  <c:v>890952</c:v>
                </c:pt>
                <c:pt idx="670">
                  <c:v>285095</c:v>
                </c:pt>
                <c:pt idx="671">
                  <c:v>185714</c:v>
                </c:pt>
                <c:pt idx="672">
                  <c:v>337714</c:v>
                </c:pt>
                <c:pt idx="673">
                  <c:v>428400</c:v>
                </c:pt>
                <c:pt idx="674">
                  <c:v>373810</c:v>
                </c:pt>
                <c:pt idx="675">
                  <c:v>905714</c:v>
                </c:pt>
                <c:pt idx="676">
                  <c:v>386381</c:v>
                </c:pt>
                <c:pt idx="677">
                  <c:v>680334</c:v>
                </c:pt>
                <c:pt idx="678">
                  <c:v>62495</c:v>
                </c:pt>
                <c:pt idx="679">
                  <c:v>557143</c:v>
                </c:pt>
                <c:pt idx="680">
                  <c:v>819524</c:v>
                </c:pt>
                <c:pt idx="681">
                  <c:v>711667</c:v>
                </c:pt>
                <c:pt idx="682">
                  <c:v>578571</c:v>
                </c:pt>
                <c:pt idx="683">
                  <c:v>465714</c:v>
                </c:pt>
                <c:pt idx="684">
                  <c:v>902762</c:v>
                </c:pt>
                <c:pt idx="685">
                  <c:v>1047450</c:v>
                </c:pt>
                <c:pt idx="686">
                  <c:v>352381</c:v>
                </c:pt>
                <c:pt idx="687">
                  <c:v>455609</c:v>
                </c:pt>
                <c:pt idx="688">
                  <c:v>1092996</c:v>
                </c:pt>
                <c:pt idx="689">
                  <c:v>271670</c:v>
                </c:pt>
                <c:pt idx="690">
                  <c:v>198095</c:v>
                </c:pt>
                <c:pt idx="691">
                  <c:v>283810</c:v>
                </c:pt>
                <c:pt idx="692">
                  <c:v>233143</c:v>
                </c:pt>
                <c:pt idx="693">
                  <c:v>354750</c:v>
                </c:pt>
                <c:pt idx="694">
                  <c:v>397140</c:v>
                </c:pt>
                <c:pt idx="695">
                  <c:v>1014190</c:v>
                </c:pt>
                <c:pt idx="696">
                  <c:v>589200</c:v>
                </c:pt>
                <c:pt idx="697">
                  <c:v>548796</c:v>
                </c:pt>
                <c:pt idx="698">
                  <c:v>352381</c:v>
                </c:pt>
                <c:pt idx="699">
                  <c:v>587095</c:v>
                </c:pt>
                <c:pt idx="700">
                  <c:v>263405</c:v>
                </c:pt>
                <c:pt idx="701">
                  <c:v>140960</c:v>
                </c:pt>
                <c:pt idx="702">
                  <c:v>401736</c:v>
                </c:pt>
                <c:pt idx="703">
                  <c:v>1832381</c:v>
                </c:pt>
                <c:pt idx="704">
                  <c:v>30375</c:v>
                </c:pt>
                <c:pt idx="705">
                  <c:v>222858</c:v>
                </c:pt>
                <c:pt idx="706">
                  <c:v>438095</c:v>
                </c:pt>
                <c:pt idx="707">
                  <c:v>2770608</c:v>
                </c:pt>
                <c:pt idx="708">
                  <c:v>3420772</c:v>
                </c:pt>
                <c:pt idx="709">
                  <c:v>251800</c:v>
                </c:pt>
                <c:pt idx="710">
                  <c:v>2966188</c:v>
                </c:pt>
                <c:pt idx="711">
                  <c:v>2840996</c:v>
                </c:pt>
                <c:pt idx="712">
                  <c:v>468914</c:v>
                </c:pt>
                <c:pt idx="714">
                  <c:v>1611430</c:v>
                </c:pt>
                <c:pt idx="715">
                  <c:v>238100</c:v>
                </c:pt>
                <c:pt idx="716">
                  <c:v>666593</c:v>
                </c:pt>
                <c:pt idx="717">
                  <c:v>3033058</c:v>
                </c:pt>
                <c:pt idx="718">
                  <c:v>3680842</c:v>
                </c:pt>
                <c:pt idx="719">
                  <c:v>935238</c:v>
                </c:pt>
                <c:pt idx="720">
                  <c:v>373376</c:v>
                </c:pt>
                <c:pt idx="721">
                  <c:v>508190</c:v>
                </c:pt>
                <c:pt idx="722">
                  <c:v>230857</c:v>
                </c:pt>
                <c:pt idx="723">
                  <c:v>445720</c:v>
                </c:pt>
                <c:pt idx="724">
                  <c:v>476190</c:v>
                </c:pt>
                <c:pt idx="725">
                  <c:v>401905</c:v>
                </c:pt>
                <c:pt idx="726">
                  <c:v>285705</c:v>
                </c:pt>
                <c:pt idx="727">
                  <c:v>469526</c:v>
                </c:pt>
                <c:pt idx="728">
                  <c:v>1116667</c:v>
                </c:pt>
                <c:pt idx="729">
                  <c:v>91200</c:v>
                </c:pt>
                <c:pt idx="730">
                  <c:v>564106</c:v>
                </c:pt>
                <c:pt idx="731">
                  <c:v>880852</c:v>
                </c:pt>
                <c:pt idx="732">
                  <c:v>26100</c:v>
                </c:pt>
                <c:pt idx="733">
                  <c:v>26100</c:v>
                </c:pt>
                <c:pt idx="735">
                  <c:v>209048</c:v>
                </c:pt>
                <c:pt idx="736">
                  <c:v>1622878</c:v>
                </c:pt>
                <c:pt idx="737">
                  <c:v>421524</c:v>
                </c:pt>
                <c:pt idx="738">
                  <c:v>114572</c:v>
                </c:pt>
                <c:pt idx="739">
                  <c:v>333600</c:v>
                </c:pt>
                <c:pt idx="740">
                  <c:v>761667</c:v>
                </c:pt>
                <c:pt idx="741">
                  <c:v>1294800</c:v>
                </c:pt>
                <c:pt idx="742">
                  <c:v>381000</c:v>
                </c:pt>
                <c:pt idx="743">
                  <c:v>665000</c:v>
                </c:pt>
                <c:pt idx="744">
                  <c:v>202381</c:v>
                </c:pt>
                <c:pt idx="745">
                  <c:v>200000</c:v>
                </c:pt>
                <c:pt idx="746">
                  <c:v>439498</c:v>
                </c:pt>
                <c:pt idx="747">
                  <c:v>51238</c:v>
                </c:pt>
                <c:pt idx="748">
                  <c:v>76191</c:v>
                </c:pt>
                <c:pt idx="749">
                  <c:v>809523</c:v>
                </c:pt>
                <c:pt idx="750">
                  <c:v>619063</c:v>
                </c:pt>
                <c:pt idx="752">
                  <c:v>786791</c:v>
                </c:pt>
                <c:pt idx="753">
                  <c:v>709239</c:v>
                </c:pt>
                <c:pt idx="754">
                  <c:v>546667</c:v>
                </c:pt>
                <c:pt idx="755">
                  <c:v>336965</c:v>
                </c:pt>
                <c:pt idx="756">
                  <c:v>942857</c:v>
                </c:pt>
                <c:pt idx="757">
                  <c:v>475424</c:v>
                </c:pt>
                <c:pt idx="758">
                  <c:v>1094001</c:v>
                </c:pt>
                <c:pt idx="759">
                  <c:v>95238</c:v>
                </c:pt>
                <c:pt idx="760">
                  <c:v>95240</c:v>
                </c:pt>
                <c:pt idx="761">
                  <c:v>156975</c:v>
                </c:pt>
                <c:pt idx="762">
                  <c:v>103958</c:v>
                </c:pt>
                <c:pt idx="763">
                  <c:v>428190</c:v>
                </c:pt>
                <c:pt idx="764">
                  <c:v>737924</c:v>
                </c:pt>
                <c:pt idx="766">
                  <c:v>3520560</c:v>
                </c:pt>
                <c:pt idx="767">
                  <c:v>2703125</c:v>
                </c:pt>
                <c:pt idx="768">
                  <c:v>261905</c:v>
                </c:pt>
                <c:pt idx="769">
                  <c:v>392476</c:v>
                </c:pt>
                <c:pt idx="770">
                  <c:v>2887500</c:v>
                </c:pt>
                <c:pt idx="771">
                  <c:v>552384</c:v>
                </c:pt>
                <c:pt idx="772">
                  <c:v>288000</c:v>
                </c:pt>
                <c:pt idx="773">
                  <c:v>240000</c:v>
                </c:pt>
                <c:pt idx="774">
                  <c:v>1104144</c:v>
                </c:pt>
                <c:pt idx="775">
                  <c:v>285714</c:v>
                </c:pt>
                <c:pt idx="776">
                  <c:v>428571</c:v>
                </c:pt>
                <c:pt idx="777">
                  <c:v>381024</c:v>
                </c:pt>
                <c:pt idx="778">
                  <c:v>413143</c:v>
                </c:pt>
                <c:pt idx="779">
                  <c:v>433333</c:v>
                </c:pt>
                <c:pt idx="780">
                  <c:v>376190</c:v>
                </c:pt>
                <c:pt idx="781">
                  <c:v>1437088</c:v>
                </c:pt>
                <c:pt idx="782">
                  <c:v>904761</c:v>
                </c:pt>
                <c:pt idx="783">
                  <c:v>437059</c:v>
                </c:pt>
                <c:pt idx="784">
                  <c:v>404762</c:v>
                </c:pt>
                <c:pt idx="785">
                  <c:v>380952</c:v>
                </c:pt>
                <c:pt idx="786">
                  <c:v>476190</c:v>
                </c:pt>
                <c:pt idx="787">
                  <c:v>714394</c:v>
                </c:pt>
                <c:pt idx="788">
                  <c:v>47429</c:v>
                </c:pt>
                <c:pt idx="789">
                  <c:v>761436</c:v>
                </c:pt>
                <c:pt idx="790">
                  <c:v>1559192</c:v>
                </c:pt>
                <c:pt idx="791">
                  <c:v>380952</c:v>
                </c:pt>
                <c:pt idx="792">
                  <c:v>2255487</c:v>
                </c:pt>
                <c:pt idx="793">
                  <c:v>2233635</c:v>
                </c:pt>
                <c:pt idx="794">
                  <c:v>904762</c:v>
                </c:pt>
                <c:pt idx="795">
                  <c:v>3110190</c:v>
                </c:pt>
                <c:pt idx="796">
                  <c:v>758095</c:v>
                </c:pt>
                <c:pt idx="797">
                  <c:v>3060118</c:v>
                </c:pt>
                <c:pt idx="798">
                  <c:v>474510</c:v>
                </c:pt>
                <c:pt idx="799">
                  <c:v>405000</c:v>
                </c:pt>
                <c:pt idx="800">
                  <c:v>3229955</c:v>
                </c:pt>
                <c:pt idx="801">
                  <c:v>427011</c:v>
                </c:pt>
                <c:pt idx="802">
                  <c:v>2185720</c:v>
                </c:pt>
                <c:pt idx="803">
                  <c:v>1227619</c:v>
                </c:pt>
                <c:pt idx="804">
                  <c:v>4577667</c:v>
                </c:pt>
                <c:pt idx="805">
                  <c:v>190476</c:v>
                </c:pt>
                <c:pt idx="806">
                  <c:v>739624</c:v>
                </c:pt>
                <c:pt idx="807">
                  <c:v>529497</c:v>
                </c:pt>
                <c:pt idx="808">
                  <c:v>2500000</c:v>
                </c:pt>
                <c:pt idx="810">
                  <c:v>252141</c:v>
                </c:pt>
                <c:pt idx="811">
                  <c:v>2380952</c:v>
                </c:pt>
                <c:pt idx="812">
                  <c:v>1476190</c:v>
                </c:pt>
                <c:pt idx="813">
                  <c:v>4009613</c:v>
                </c:pt>
                <c:pt idx="814">
                  <c:v>4109772</c:v>
                </c:pt>
                <c:pt idx="815">
                  <c:v>770529</c:v>
                </c:pt>
                <c:pt idx="816">
                  <c:v>448589</c:v>
                </c:pt>
                <c:pt idx="817">
                  <c:v>4142857</c:v>
                </c:pt>
                <c:pt idx="818">
                  <c:v>4453001</c:v>
                </c:pt>
                <c:pt idx="820">
                  <c:v>2476190</c:v>
                </c:pt>
                <c:pt idx="821">
                  <c:v>3421038</c:v>
                </c:pt>
                <c:pt idx="822">
                  <c:v>952380</c:v>
                </c:pt>
                <c:pt idx="823">
                  <c:v>1121429</c:v>
                </c:pt>
                <c:pt idx="824">
                  <c:v>761905</c:v>
                </c:pt>
                <c:pt idx="825">
                  <c:v>952381</c:v>
                </c:pt>
                <c:pt idx="826">
                  <c:v>428095</c:v>
                </c:pt>
                <c:pt idx="827">
                  <c:v>3606283</c:v>
                </c:pt>
                <c:pt idx="828">
                  <c:v>215001</c:v>
                </c:pt>
                <c:pt idx="829">
                  <c:v>950107</c:v>
                </c:pt>
                <c:pt idx="830">
                  <c:v>2223810</c:v>
                </c:pt>
                <c:pt idx="831">
                  <c:v>1333334</c:v>
                </c:pt>
                <c:pt idx="832">
                  <c:v>95238</c:v>
                </c:pt>
                <c:pt idx="833">
                  <c:v>3981570</c:v>
                </c:pt>
                <c:pt idx="834">
                  <c:v>677810</c:v>
                </c:pt>
                <c:pt idx="835">
                  <c:v>1039335</c:v>
                </c:pt>
                <c:pt idx="836">
                  <c:v>797238</c:v>
                </c:pt>
                <c:pt idx="840">
                  <c:v>952381</c:v>
                </c:pt>
                <c:pt idx="842">
                  <c:v>930190</c:v>
                </c:pt>
                <c:pt idx="843">
                  <c:v>1137143</c:v>
                </c:pt>
                <c:pt idx="844">
                  <c:v>1317476</c:v>
                </c:pt>
                <c:pt idx="845">
                  <c:v>142762</c:v>
                </c:pt>
                <c:pt idx="846">
                  <c:v>344061</c:v>
                </c:pt>
                <c:pt idx="847">
                  <c:v>136755</c:v>
                </c:pt>
                <c:pt idx="848">
                  <c:v>703665</c:v>
                </c:pt>
                <c:pt idx="849">
                  <c:v>603142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DA-4A03-981C-2CD9FB41CD1B}"/>
            </c:ext>
          </c:extLst>
        </c:ser>
        <c:ser>
          <c:idx val="1"/>
          <c:order val="1"/>
          <c:tx>
            <c:strRef>
              <c:f>Anomalies!$L$5</c:f>
              <c:strCache>
                <c:ptCount val="1"/>
                <c:pt idx="0">
                  <c:v>Anomaly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4"/>
            <c:spPr>
              <a:solidFill>
                <a:srgbClr val="BE123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noFill/>
                    </a:ln>
                  </c:spPr>
                </c15:leaderLines>
              </c:ext>
            </c:extLst>
          </c:dLbls>
          <c:xVal>
            <c:numRef>
              <c:f>Anomalies!$J$6:$J$855</c:f>
              <c:numCache>
                <c:formatCode>General</c:formatCode>
                <c:ptCount val="8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</c:numCache>
            </c:numRef>
          </c:xVal>
          <c:yVal>
            <c:numRef>
              <c:f>Anomalies!$L$6:$L$855</c:f>
              <c:numCache>
                <c:formatCode>General</c:formatCode>
                <c:ptCount val="850"/>
                <c:pt idx="13">
                  <c:v>2275520</c:v>
                </c:pt>
                <c:pt idx="134">
                  <c:v>1426100</c:v>
                </c:pt>
                <c:pt idx="205">
                  <c:v>2314286</c:v>
                </c:pt>
                <c:pt idx="270">
                  <c:v>1798192</c:v>
                </c:pt>
                <c:pt idx="286">
                  <c:v>4000000</c:v>
                </c:pt>
                <c:pt idx="313">
                  <c:v>17524</c:v>
                </c:pt>
                <c:pt idx="326">
                  <c:v>20861</c:v>
                </c:pt>
                <c:pt idx="370">
                  <c:v>4417663</c:v>
                </c:pt>
                <c:pt idx="382">
                  <c:v>60952</c:v>
                </c:pt>
                <c:pt idx="391">
                  <c:v>161714</c:v>
                </c:pt>
                <c:pt idx="410">
                  <c:v>51900</c:v>
                </c:pt>
                <c:pt idx="412">
                  <c:v>285714</c:v>
                </c:pt>
                <c:pt idx="422">
                  <c:v>3021429</c:v>
                </c:pt>
                <c:pt idx="453">
                  <c:v>3666260</c:v>
                </c:pt>
                <c:pt idx="455">
                  <c:v>3286000</c:v>
                </c:pt>
                <c:pt idx="462">
                  <c:v>4000000</c:v>
                </c:pt>
                <c:pt idx="554">
                  <c:v>14286</c:v>
                </c:pt>
                <c:pt idx="623">
                  <c:v>2531151</c:v>
                </c:pt>
                <c:pt idx="666">
                  <c:v>2197719</c:v>
                </c:pt>
                <c:pt idx="713">
                  <c:v>14578</c:v>
                </c:pt>
                <c:pt idx="734">
                  <c:v>1907</c:v>
                </c:pt>
                <c:pt idx="751">
                  <c:v>10000</c:v>
                </c:pt>
                <c:pt idx="765">
                  <c:v>3035</c:v>
                </c:pt>
                <c:pt idx="809">
                  <c:v>5041701</c:v>
                </c:pt>
                <c:pt idx="819">
                  <c:v>5030271</c:v>
                </c:pt>
                <c:pt idx="837">
                  <c:v>47619</c:v>
                </c:pt>
                <c:pt idx="838">
                  <c:v>1594239</c:v>
                </c:pt>
                <c:pt idx="839">
                  <c:v>285715</c:v>
                </c:pt>
                <c:pt idx="841">
                  <c:v>43000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DA-4A03-981C-2CD9FB41C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73911"/>
        <c:axId val="97886492"/>
      </c:scatterChart>
      <c:valAx>
        <c:axId val="519739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transaction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7886492"/>
        <c:crosses val="autoZero"/>
        <c:crossBetween val="midCat"/>
      </c:valAx>
      <c:valAx>
        <c:axId val="97886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9739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Stock reconciliation — monthly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Anomalies!$O$5</c:f>
              <c:strCache>
                <c:ptCount val="1"/>
                <c:pt idx="0">
                  <c:v>Kernel/ RCN ratio</c:v>
                </c:pt>
              </c:strCache>
            </c:strRef>
          </c:tx>
          <c:spPr>
            <a:ln w="12600">
              <a:solidFill>
                <a:srgbClr val="0F766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Anomalies!$N$6:$N$50</c:f>
              <c:strCache>
                <c:ptCount val="45"/>
                <c:pt idx="0">
                  <c:v>2022-04</c:v>
                </c:pt>
                <c:pt idx="1">
                  <c:v>2022-05</c:v>
                </c:pt>
                <c:pt idx="2">
                  <c:v>2022-06</c:v>
                </c:pt>
                <c:pt idx="3">
                  <c:v>2022-07</c:v>
                </c:pt>
                <c:pt idx="4">
                  <c:v>2022-08</c:v>
                </c:pt>
                <c:pt idx="5">
                  <c:v>2022-09</c:v>
                </c:pt>
                <c:pt idx="6">
                  <c:v>2022-10</c:v>
                </c:pt>
                <c:pt idx="7">
                  <c:v>2022-11</c:v>
                </c:pt>
                <c:pt idx="8">
                  <c:v>2022-12</c:v>
                </c:pt>
                <c:pt idx="9">
                  <c:v>2023-01</c:v>
                </c:pt>
                <c:pt idx="10">
                  <c:v>2023-02</c:v>
                </c:pt>
                <c:pt idx="11">
                  <c:v>2023-03</c:v>
                </c:pt>
                <c:pt idx="12">
                  <c:v>2023-04</c:v>
                </c:pt>
                <c:pt idx="13">
                  <c:v>2023-05</c:v>
                </c:pt>
                <c:pt idx="14">
                  <c:v>2023-06</c:v>
                </c:pt>
                <c:pt idx="15">
                  <c:v>2023-07</c:v>
                </c:pt>
                <c:pt idx="16">
                  <c:v>2023-08</c:v>
                </c:pt>
                <c:pt idx="17">
                  <c:v>2023-09</c:v>
                </c:pt>
                <c:pt idx="18">
                  <c:v>2023-10</c:v>
                </c:pt>
                <c:pt idx="19">
                  <c:v>2023-11</c:v>
                </c:pt>
                <c:pt idx="20">
                  <c:v>2023-12</c:v>
                </c:pt>
                <c:pt idx="21">
                  <c:v>2024-01</c:v>
                </c:pt>
                <c:pt idx="22">
                  <c:v>2024-02</c:v>
                </c:pt>
                <c:pt idx="23">
                  <c:v>2024-03</c:v>
                </c:pt>
                <c:pt idx="24">
                  <c:v>2024-04</c:v>
                </c:pt>
                <c:pt idx="25">
                  <c:v>2024-05</c:v>
                </c:pt>
                <c:pt idx="26">
                  <c:v>2024-06</c:v>
                </c:pt>
                <c:pt idx="27">
                  <c:v>2024-07</c:v>
                </c:pt>
                <c:pt idx="28">
                  <c:v>2024-09</c:v>
                </c:pt>
                <c:pt idx="29">
                  <c:v>2024-10</c:v>
                </c:pt>
                <c:pt idx="30">
                  <c:v>2024-12</c:v>
                </c:pt>
                <c:pt idx="31">
                  <c:v>2025-01</c:v>
                </c:pt>
                <c:pt idx="32">
                  <c:v>2025-02</c:v>
                </c:pt>
                <c:pt idx="33">
                  <c:v>2025-03</c:v>
                </c:pt>
                <c:pt idx="34">
                  <c:v>2025-04</c:v>
                </c:pt>
                <c:pt idx="35">
                  <c:v>2025-05</c:v>
                </c:pt>
                <c:pt idx="36">
                  <c:v>2025-06</c:v>
                </c:pt>
                <c:pt idx="37">
                  <c:v>2025-07</c:v>
                </c:pt>
                <c:pt idx="38">
                  <c:v>2025-08</c:v>
                </c:pt>
                <c:pt idx="39">
                  <c:v>2025-09</c:v>
                </c:pt>
                <c:pt idx="40">
                  <c:v>2025-10</c:v>
                </c:pt>
                <c:pt idx="41">
                  <c:v>2025-11</c:v>
                </c:pt>
                <c:pt idx="42">
                  <c:v>2025-12</c:v>
                </c:pt>
                <c:pt idx="43">
                  <c:v>2026-01</c:v>
                </c:pt>
                <c:pt idx="44">
                  <c:v>2026-02</c:v>
                </c:pt>
              </c:strCache>
            </c:strRef>
          </c:cat>
          <c:val>
            <c:numRef>
              <c:f>Anomalies!$O$6:$O$50</c:f>
              <c:numCache>
                <c:formatCode>General</c:formatCode>
                <c:ptCount val="45"/>
                <c:pt idx="0">
                  <c:v>4.1000000000000002E-2</c:v>
                </c:pt>
                <c:pt idx="1">
                  <c:v>0.122</c:v>
                </c:pt>
                <c:pt idx="2">
                  <c:v>3.7999999999999999E-2</c:v>
                </c:pt>
                <c:pt idx="3">
                  <c:v>0.13900000000000001</c:v>
                </c:pt>
                <c:pt idx="4">
                  <c:v>0.17799999999999999</c:v>
                </c:pt>
                <c:pt idx="5">
                  <c:v>0.32800000000000001</c:v>
                </c:pt>
                <c:pt idx="6">
                  <c:v>4.4999999999999998E-2</c:v>
                </c:pt>
                <c:pt idx="7">
                  <c:v>0.27100000000000002</c:v>
                </c:pt>
                <c:pt idx="8">
                  <c:v>0.32800000000000001</c:v>
                </c:pt>
                <c:pt idx="9">
                  <c:v>0.24399999999999999</c:v>
                </c:pt>
                <c:pt idx="10">
                  <c:v>0.48199999999999998</c:v>
                </c:pt>
                <c:pt idx="11">
                  <c:v>0.157</c:v>
                </c:pt>
                <c:pt idx="12">
                  <c:v>8.6999999999999994E-2</c:v>
                </c:pt>
                <c:pt idx="13">
                  <c:v>0.25</c:v>
                </c:pt>
                <c:pt idx="14">
                  <c:v>0.82299999999999995</c:v>
                </c:pt>
                <c:pt idx="15">
                  <c:v>0.11899999999999999</c:v>
                </c:pt>
                <c:pt idx="16">
                  <c:v>0.182</c:v>
                </c:pt>
                <c:pt idx="17">
                  <c:v>0.51</c:v>
                </c:pt>
                <c:pt idx="18">
                  <c:v>0.312</c:v>
                </c:pt>
                <c:pt idx="19">
                  <c:v>0.17899999999999999</c:v>
                </c:pt>
                <c:pt idx="20">
                  <c:v>0.371</c:v>
                </c:pt>
                <c:pt idx="21">
                  <c:v>0.11600000000000001</c:v>
                </c:pt>
                <c:pt idx="22">
                  <c:v>0.24</c:v>
                </c:pt>
                <c:pt idx="23">
                  <c:v>0.19600000000000001</c:v>
                </c:pt>
                <c:pt idx="24">
                  <c:v>9.1999999999999998E-2</c:v>
                </c:pt>
                <c:pt idx="25">
                  <c:v>0.106</c:v>
                </c:pt>
                <c:pt idx="26">
                  <c:v>0.35599999999999998</c:v>
                </c:pt>
                <c:pt idx="27">
                  <c:v>1.2999999999999999E-2</c:v>
                </c:pt>
                <c:pt idx="28">
                  <c:v>0.247</c:v>
                </c:pt>
                <c:pt idx="29">
                  <c:v>0.18099999999999999</c:v>
                </c:pt>
                <c:pt idx="30">
                  <c:v>0.17699999999999999</c:v>
                </c:pt>
                <c:pt idx="31">
                  <c:v>0.22900000000000001</c:v>
                </c:pt>
                <c:pt idx="32">
                  <c:v>1.4339999999999999</c:v>
                </c:pt>
                <c:pt idx="33">
                  <c:v>0.24099999999999999</c:v>
                </c:pt>
                <c:pt idx="34">
                  <c:v>0.161</c:v>
                </c:pt>
                <c:pt idx="35">
                  <c:v>0.18099999999999999</c:v>
                </c:pt>
                <c:pt idx="36">
                  <c:v>0.16600000000000001</c:v>
                </c:pt>
                <c:pt idx="37">
                  <c:v>0.27900000000000003</c:v>
                </c:pt>
                <c:pt idx="38">
                  <c:v>0.21299999999999999</c:v>
                </c:pt>
                <c:pt idx="39">
                  <c:v>0.32900000000000001</c:v>
                </c:pt>
                <c:pt idx="40">
                  <c:v>0.38100000000000001</c:v>
                </c:pt>
                <c:pt idx="41">
                  <c:v>0.57399999999999995</c:v>
                </c:pt>
                <c:pt idx="42">
                  <c:v>1.0640000000000001</c:v>
                </c:pt>
                <c:pt idx="43">
                  <c:v>0.187</c:v>
                </c:pt>
                <c:pt idx="44">
                  <c:v>0.03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E7-4357-AE54-5A2C78DD5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920833"/>
        <c:axId val="85019592"/>
      </c:lineChart>
      <c:catAx>
        <c:axId val="229208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019592"/>
        <c:crosses val="autoZero"/>
        <c:auto val="1"/>
        <c:lblAlgn val="ctr"/>
        <c:lblOffset val="100"/>
        <c:noMultiLvlLbl val="0"/>
      </c:catAx>
      <c:valAx>
        <c:axId val="85019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9208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13</xdr:col>
      <xdr:colOff>507600</xdr:colOff>
      <xdr:row>17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11</xdr:col>
      <xdr:colOff>399240</xdr:colOff>
      <xdr:row>17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507600</xdr:colOff>
      <xdr:row>17</xdr:row>
      <xdr:rowOff>21960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10</xdr:col>
      <xdr:colOff>399240</xdr:colOff>
      <xdr:row>18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19</xdr:row>
      <xdr:rowOff>0</xdr:rowOff>
    </xdr:from>
    <xdr:to>
      <xdr:col>9</xdr:col>
      <xdr:colOff>290880</xdr:colOff>
      <xdr:row>32</xdr:row>
      <xdr:rowOff>43200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133350</xdr:colOff>
      <xdr:row>135</xdr:row>
      <xdr:rowOff>57150</xdr:rowOff>
    </xdr:from>
    <xdr:to>
      <xdr:col>25</xdr:col>
      <xdr:colOff>359085</xdr:colOff>
      <xdr:row>152</xdr:row>
      <xdr:rowOff>58590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304800</xdr:colOff>
      <xdr:row>161</xdr:row>
      <xdr:rowOff>123825</xdr:rowOff>
    </xdr:from>
    <xdr:to>
      <xdr:col>14</xdr:col>
      <xdr:colOff>170325</xdr:colOff>
      <xdr:row>174</xdr:row>
      <xdr:rowOff>166665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476250</xdr:colOff>
      <xdr:row>153</xdr:row>
      <xdr:rowOff>38100</xdr:rowOff>
    </xdr:from>
    <xdr:to>
      <xdr:col>25</xdr:col>
      <xdr:colOff>437385</xdr:colOff>
      <xdr:row>168</xdr:row>
      <xdr:rowOff>60420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162</xdr:row>
      <xdr:rowOff>104775</xdr:rowOff>
    </xdr:from>
    <xdr:to>
      <xdr:col>7</xdr:col>
      <xdr:colOff>379875</xdr:colOff>
      <xdr:row>175</xdr:row>
      <xdr:rowOff>147975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11</xdr:col>
      <xdr:colOff>39240</xdr:colOff>
      <xdr:row>17</xdr:row>
      <xdr:rowOff>21960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7</xdr:col>
      <xdr:colOff>480960</xdr:colOff>
      <xdr:row>36</xdr:row>
      <xdr:rowOff>1080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19</xdr:row>
      <xdr:rowOff>0</xdr:rowOff>
    </xdr:from>
    <xdr:to>
      <xdr:col>22</xdr:col>
      <xdr:colOff>255960</xdr:colOff>
      <xdr:row>34</xdr:row>
      <xdr:rowOff>21960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95" customWidth="1"/>
  </cols>
  <sheetData>
    <row r="2" spans="2:2" ht="18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9" spans="2:2" x14ac:dyDescent="0.25">
      <c r="B9" t="s">
        <v>5</v>
      </c>
    </row>
    <row r="10" spans="2:2" x14ac:dyDescent="0.25">
      <c r="B10" t="s">
        <v>6</v>
      </c>
    </row>
    <row r="11" spans="2:2" x14ac:dyDescent="0.25">
      <c r="B11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/>
  </sheetViews>
  <sheetFormatPr defaultColWidth="8.7109375" defaultRowHeight="15" x14ac:dyDescent="0.25"/>
  <cols>
    <col min="1" max="1" width="46" customWidth="1"/>
    <col min="2" max="2" width="12" customWidth="1"/>
  </cols>
  <sheetData>
    <row r="1" spans="1:2" ht="18" x14ac:dyDescent="0.25">
      <c r="A1" s="1" t="s">
        <v>8</v>
      </c>
    </row>
    <row r="3" spans="1:2" x14ac:dyDescent="0.25">
      <c r="A3" s="3" t="s">
        <v>9</v>
      </c>
      <c r="B3" s="3" t="s">
        <v>10</v>
      </c>
    </row>
    <row r="4" spans="1:2" x14ac:dyDescent="0.25">
      <c r="A4" s="4" t="s">
        <v>11</v>
      </c>
      <c r="B4" s="5">
        <v>5572</v>
      </c>
    </row>
    <row r="5" spans="1:2" x14ac:dyDescent="0.25">
      <c r="A5" s="4" t="s">
        <v>12</v>
      </c>
      <c r="B5" s="5">
        <v>4720</v>
      </c>
    </row>
    <row r="6" spans="1:2" x14ac:dyDescent="0.25">
      <c r="A6" s="4" t="s">
        <v>13</v>
      </c>
      <c r="B6" s="5">
        <v>2</v>
      </c>
    </row>
    <row r="7" spans="1:2" x14ac:dyDescent="0.25">
      <c r="A7" s="4" t="s">
        <v>14</v>
      </c>
      <c r="B7" s="5">
        <v>850</v>
      </c>
    </row>
    <row r="9" spans="1:2" x14ac:dyDescent="0.25">
      <c r="A9" s="6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0" customWidth="1"/>
    <col min="3" max="3" width="7" customWidth="1"/>
    <col min="4" max="4" width="12" customWidth="1"/>
    <col min="5" max="5" width="42" customWidth="1"/>
    <col min="6" max="6" width="14" customWidth="1"/>
    <col min="7" max="7" width="13" customWidth="1"/>
  </cols>
  <sheetData>
    <row r="1" spans="1:7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7" x14ac:dyDescent="0.25">
      <c r="A2" t="s">
        <v>23</v>
      </c>
      <c r="B2" t="s">
        <v>24</v>
      </c>
      <c r="C2" t="s">
        <v>25</v>
      </c>
      <c r="D2" s="7">
        <v>44671</v>
      </c>
      <c r="E2" t="s">
        <v>26</v>
      </c>
      <c r="F2" s="8">
        <v>243628</v>
      </c>
      <c r="G2" t="s">
        <v>27</v>
      </c>
    </row>
    <row r="3" spans="1:7" x14ac:dyDescent="0.25">
      <c r="A3" t="s">
        <v>23</v>
      </c>
      <c r="B3" t="s">
        <v>24</v>
      </c>
      <c r="C3" t="s">
        <v>25</v>
      </c>
      <c r="D3" s="7">
        <v>44677</v>
      </c>
      <c r="E3" t="s">
        <v>28</v>
      </c>
      <c r="F3" s="8">
        <v>526073</v>
      </c>
      <c r="G3" t="s">
        <v>27</v>
      </c>
    </row>
    <row r="4" spans="1:7" x14ac:dyDescent="0.25">
      <c r="A4" t="s">
        <v>23</v>
      </c>
      <c r="B4" t="s">
        <v>29</v>
      </c>
      <c r="C4" t="s">
        <v>30</v>
      </c>
      <c r="D4" s="7">
        <v>44688</v>
      </c>
      <c r="E4" t="s">
        <v>31</v>
      </c>
      <c r="F4" s="8">
        <v>1683200</v>
      </c>
      <c r="G4" t="s">
        <v>27</v>
      </c>
    </row>
    <row r="5" spans="1:7" x14ac:dyDescent="0.25">
      <c r="A5" t="s">
        <v>23</v>
      </c>
      <c r="B5" t="s">
        <v>24</v>
      </c>
      <c r="C5" t="s">
        <v>25</v>
      </c>
      <c r="D5" s="7">
        <v>44698</v>
      </c>
      <c r="E5" t="s">
        <v>32</v>
      </c>
      <c r="F5" s="8">
        <v>302860</v>
      </c>
      <c r="G5" t="s">
        <v>27</v>
      </c>
    </row>
    <row r="6" spans="1:7" x14ac:dyDescent="0.25">
      <c r="A6" t="s">
        <v>23</v>
      </c>
      <c r="B6" t="s">
        <v>24</v>
      </c>
      <c r="C6" t="s">
        <v>25</v>
      </c>
      <c r="D6" s="7">
        <v>44705</v>
      </c>
      <c r="E6" t="s">
        <v>33</v>
      </c>
      <c r="F6" s="8">
        <v>980712</v>
      </c>
      <c r="G6" t="s">
        <v>27</v>
      </c>
    </row>
    <row r="7" spans="1:7" x14ac:dyDescent="0.25">
      <c r="A7" t="s">
        <v>23</v>
      </c>
      <c r="B7" t="s">
        <v>29</v>
      </c>
      <c r="C7" t="s">
        <v>30</v>
      </c>
      <c r="D7" s="7">
        <v>44710</v>
      </c>
      <c r="E7" t="s">
        <v>34</v>
      </c>
      <c r="F7" s="8">
        <v>732947.2</v>
      </c>
      <c r="G7" t="s">
        <v>27</v>
      </c>
    </row>
    <row r="8" spans="1:7" x14ac:dyDescent="0.25">
      <c r="A8" t="s">
        <v>23</v>
      </c>
      <c r="B8" t="s">
        <v>24</v>
      </c>
      <c r="C8" t="s">
        <v>25</v>
      </c>
      <c r="D8" s="7">
        <v>44725</v>
      </c>
      <c r="E8" t="s">
        <v>28</v>
      </c>
      <c r="F8" s="8">
        <v>910585</v>
      </c>
      <c r="G8" t="s">
        <v>27</v>
      </c>
    </row>
    <row r="9" spans="1:7" x14ac:dyDescent="0.25">
      <c r="A9" t="s">
        <v>23</v>
      </c>
      <c r="B9" t="s">
        <v>29</v>
      </c>
      <c r="C9" t="s">
        <v>30</v>
      </c>
      <c r="D9" s="7">
        <v>44729</v>
      </c>
      <c r="E9" t="s">
        <v>35</v>
      </c>
      <c r="F9" s="8">
        <v>552619.05000000005</v>
      </c>
      <c r="G9" t="s">
        <v>27</v>
      </c>
    </row>
    <row r="10" spans="1:7" x14ac:dyDescent="0.25">
      <c r="A10" t="s">
        <v>23</v>
      </c>
      <c r="B10" t="s">
        <v>24</v>
      </c>
      <c r="C10" t="s">
        <v>25</v>
      </c>
      <c r="D10" s="7">
        <v>44734</v>
      </c>
      <c r="E10" t="s">
        <v>36</v>
      </c>
      <c r="F10" s="8">
        <v>892778</v>
      </c>
      <c r="G10" t="s">
        <v>27</v>
      </c>
    </row>
    <row r="11" spans="1:7" x14ac:dyDescent="0.25">
      <c r="A11" t="s">
        <v>23</v>
      </c>
      <c r="B11" t="s">
        <v>29</v>
      </c>
      <c r="C11" t="s">
        <v>30</v>
      </c>
      <c r="D11" s="7">
        <v>44741</v>
      </c>
      <c r="E11" t="s">
        <v>35</v>
      </c>
      <c r="F11" s="8">
        <v>490476.19</v>
      </c>
      <c r="G11" t="s">
        <v>27</v>
      </c>
    </row>
    <row r="12" spans="1:7" x14ac:dyDescent="0.25">
      <c r="A12" t="s">
        <v>23</v>
      </c>
      <c r="B12" t="s">
        <v>29</v>
      </c>
      <c r="C12" t="s">
        <v>30</v>
      </c>
      <c r="D12" s="7">
        <v>44741</v>
      </c>
      <c r="E12" t="s">
        <v>37</v>
      </c>
      <c r="F12" s="8">
        <v>4000000</v>
      </c>
      <c r="G12" t="s">
        <v>27</v>
      </c>
    </row>
    <row r="13" spans="1:7" x14ac:dyDescent="0.25">
      <c r="A13" t="s">
        <v>23</v>
      </c>
      <c r="B13" t="s">
        <v>24</v>
      </c>
      <c r="C13" t="s">
        <v>30</v>
      </c>
      <c r="D13" s="7">
        <v>44742</v>
      </c>
      <c r="E13" t="s">
        <v>38</v>
      </c>
      <c r="F13" s="8">
        <v>1718080</v>
      </c>
      <c r="G13" t="s">
        <v>27</v>
      </c>
    </row>
    <row r="14" spans="1:7" x14ac:dyDescent="0.25">
      <c r="A14" t="s">
        <v>23</v>
      </c>
      <c r="B14" t="s">
        <v>24</v>
      </c>
      <c r="C14" t="s">
        <v>30</v>
      </c>
      <c r="D14" s="7">
        <v>44742</v>
      </c>
      <c r="E14" t="s">
        <v>34</v>
      </c>
      <c r="F14" s="8">
        <v>1771500</v>
      </c>
      <c r="G14" t="s">
        <v>27</v>
      </c>
    </row>
    <row r="15" spans="1:7" x14ac:dyDescent="0.25">
      <c r="A15" t="s">
        <v>23</v>
      </c>
      <c r="B15" t="s">
        <v>24</v>
      </c>
      <c r="C15" t="s">
        <v>25</v>
      </c>
      <c r="D15" s="7">
        <v>44761</v>
      </c>
      <c r="E15" t="s">
        <v>39</v>
      </c>
      <c r="F15" s="8">
        <v>223528</v>
      </c>
      <c r="G15" t="s">
        <v>27</v>
      </c>
    </row>
    <row r="16" spans="1:7" x14ac:dyDescent="0.25">
      <c r="A16" t="s">
        <v>23</v>
      </c>
      <c r="B16" t="s">
        <v>29</v>
      </c>
      <c r="C16" t="s">
        <v>30</v>
      </c>
      <c r="D16" s="7">
        <v>44761</v>
      </c>
      <c r="E16" t="s">
        <v>38</v>
      </c>
      <c r="F16" s="8">
        <v>543810</v>
      </c>
      <c r="G16" t="s">
        <v>27</v>
      </c>
    </row>
    <row r="17" spans="1:7" x14ac:dyDescent="0.25">
      <c r="A17" t="s">
        <v>23</v>
      </c>
      <c r="B17" t="s">
        <v>24</v>
      </c>
      <c r="C17" t="s">
        <v>25</v>
      </c>
      <c r="D17" s="7">
        <v>44771</v>
      </c>
      <c r="E17" t="s">
        <v>26</v>
      </c>
      <c r="F17" s="8">
        <v>296570</v>
      </c>
      <c r="G17" t="s">
        <v>27</v>
      </c>
    </row>
    <row r="18" spans="1:7" x14ac:dyDescent="0.25">
      <c r="A18" t="s">
        <v>23</v>
      </c>
      <c r="B18" t="s">
        <v>29</v>
      </c>
      <c r="C18" t="s">
        <v>30</v>
      </c>
      <c r="D18" s="7">
        <v>44773</v>
      </c>
      <c r="E18" t="s">
        <v>40</v>
      </c>
      <c r="F18" s="8">
        <v>952381</v>
      </c>
      <c r="G18" t="s">
        <v>27</v>
      </c>
    </row>
    <row r="19" spans="1:7" x14ac:dyDescent="0.25">
      <c r="A19" t="s">
        <v>23</v>
      </c>
      <c r="B19" t="s">
        <v>24</v>
      </c>
      <c r="C19" t="s">
        <v>25</v>
      </c>
      <c r="D19" s="7">
        <v>44777</v>
      </c>
      <c r="E19" t="s">
        <v>39</v>
      </c>
      <c r="F19" s="8">
        <v>119040</v>
      </c>
      <c r="G19" t="s">
        <v>27</v>
      </c>
    </row>
    <row r="20" spans="1:7" x14ac:dyDescent="0.25">
      <c r="A20" t="s">
        <v>23</v>
      </c>
      <c r="B20" t="s">
        <v>24</v>
      </c>
      <c r="C20" t="s">
        <v>25</v>
      </c>
      <c r="D20" s="7">
        <v>44781</v>
      </c>
      <c r="E20" t="s">
        <v>28</v>
      </c>
      <c r="F20" s="8">
        <v>878303</v>
      </c>
      <c r="G20" t="s">
        <v>27</v>
      </c>
    </row>
    <row r="21" spans="1:7" x14ac:dyDescent="0.25">
      <c r="A21" t="s">
        <v>23</v>
      </c>
      <c r="B21" t="s">
        <v>24</v>
      </c>
      <c r="C21" t="s">
        <v>25</v>
      </c>
      <c r="D21" s="7">
        <v>44784</v>
      </c>
      <c r="E21" t="s">
        <v>39</v>
      </c>
      <c r="F21" s="8">
        <v>123810</v>
      </c>
      <c r="G21" t="s">
        <v>27</v>
      </c>
    </row>
    <row r="22" spans="1:7" x14ac:dyDescent="0.25">
      <c r="A22" t="s">
        <v>23</v>
      </c>
      <c r="B22" t="s">
        <v>29</v>
      </c>
      <c r="C22" t="s">
        <v>30</v>
      </c>
      <c r="D22" s="7">
        <v>44786</v>
      </c>
      <c r="E22" t="s">
        <v>41</v>
      </c>
      <c r="F22" s="8">
        <v>352380.95</v>
      </c>
      <c r="G22" t="s">
        <v>27</v>
      </c>
    </row>
    <row r="23" spans="1:7" x14ac:dyDescent="0.25">
      <c r="A23" t="s">
        <v>23</v>
      </c>
      <c r="B23" t="s">
        <v>29</v>
      </c>
      <c r="C23" t="s">
        <v>30</v>
      </c>
      <c r="D23" s="7">
        <v>44804</v>
      </c>
      <c r="E23" t="s">
        <v>42</v>
      </c>
      <c r="F23" s="8">
        <v>252387.09</v>
      </c>
      <c r="G23" t="s">
        <v>27</v>
      </c>
    </row>
    <row r="24" spans="1:7" x14ac:dyDescent="0.25">
      <c r="A24" t="s">
        <v>23</v>
      </c>
      <c r="B24" t="s">
        <v>29</v>
      </c>
      <c r="C24" t="s">
        <v>30</v>
      </c>
      <c r="D24" s="7">
        <v>44804</v>
      </c>
      <c r="E24" t="s">
        <v>34</v>
      </c>
      <c r="F24" s="8">
        <v>80960</v>
      </c>
      <c r="G24" t="s">
        <v>27</v>
      </c>
    </row>
    <row r="25" spans="1:7" x14ac:dyDescent="0.25">
      <c r="A25" t="s">
        <v>23</v>
      </c>
      <c r="B25" t="s">
        <v>24</v>
      </c>
      <c r="C25" t="s">
        <v>25</v>
      </c>
      <c r="D25" s="7">
        <v>44816</v>
      </c>
      <c r="E25" t="s">
        <v>28</v>
      </c>
      <c r="F25" s="8">
        <v>958686</v>
      </c>
      <c r="G25" t="s">
        <v>27</v>
      </c>
    </row>
    <row r="26" spans="1:7" x14ac:dyDescent="0.25">
      <c r="A26" t="s">
        <v>23</v>
      </c>
      <c r="B26" t="s">
        <v>24</v>
      </c>
      <c r="C26" t="s">
        <v>25</v>
      </c>
      <c r="D26" s="7">
        <v>44827</v>
      </c>
      <c r="E26" t="s">
        <v>43</v>
      </c>
      <c r="F26" s="8">
        <v>159000</v>
      </c>
      <c r="G26" t="s">
        <v>27</v>
      </c>
    </row>
    <row r="27" spans="1:7" x14ac:dyDescent="0.25">
      <c r="A27" t="s">
        <v>23</v>
      </c>
      <c r="B27" t="s">
        <v>29</v>
      </c>
      <c r="C27" t="s">
        <v>30</v>
      </c>
      <c r="D27" s="7">
        <v>44831</v>
      </c>
      <c r="E27" t="s">
        <v>44</v>
      </c>
      <c r="F27" s="8">
        <v>833333.34</v>
      </c>
      <c r="G27" t="s">
        <v>27</v>
      </c>
    </row>
    <row r="28" spans="1:7" x14ac:dyDescent="0.25">
      <c r="A28" t="s">
        <v>23</v>
      </c>
      <c r="B28" t="s">
        <v>24</v>
      </c>
      <c r="C28" t="s">
        <v>25</v>
      </c>
      <c r="D28" s="7">
        <v>44832</v>
      </c>
      <c r="E28" t="s">
        <v>43</v>
      </c>
      <c r="F28" s="8">
        <v>104000</v>
      </c>
      <c r="G28" t="s">
        <v>27</v>
      </c>
    </row>
    <row r="29" spans="1:7" x14ac:dyDescent="0.25">
      <c r="A29" t="s">
        <v>23</v>
      </c>
      <c r="B29" t="s">
        <v>24</v>
      </c>
      <c r="C29" t="s">
        <v>25</v>
      </c>
      <c r="D29" s="7">
        <v>44834</v>
      </c>
      <c r="E29" t="s">
        <v>36</v>
      </c>
      <c r="F29" s="8">
        <v>540652</v>
      </c>
      <c r="G29" t="s">
        <v>27</v>
      </c>
    </row>
    <row r="30" spans="1:7" x14ac:dyDescent="0.25">
      <c r="A30" t="s">
        <v>23</v>
      </c>
      <c r="B30" t="s">
        <v>24</v>
      </c>
      <c r="C30" t="s">
        <v>30</v>
      </c>
      <c r="D30" s="7">
        <v>44844</v>
      </c>
      <c r="E30" t="s">
        <v>45</v>
      </c>
      <c r="F30" s="8">
        <v>251448</v>
      </c>
      <c r="G30" t="s">
        <v>27</v>
      </c>
    </row>
    <row r="31" spans="1:7" x14ac:dyDescent="0.25">
      <c r="A31" t="s">
        <v>23</v>
      </c>
      <c r="B31" t="s">
        <v>24</v>
      </c>
      <c r="C31" t="s">
        <v>25</v>
      </c>
      <c r="D31" s="7">
        <v>44848</v>
      </c>
      <c r="E31" t="s">
        <v>28</v>
      </c>
      <c r="F31" s="8">
        <v>695668</v>
      </c>
      <c r="G31" t="s">
        <v>27</v>
      </c>
    </row>
    <row r="32" spans="1:7" x14ac:dyDescent="0.25">
      <c r="A32" t="s">
        <v>23</v>
      </c>
      <c r="B32" t="s">
        <v>29</v>
      </c>
      <c r="C32" t="s">
        <v>30</v>
      </c>
      <c r="D32" s="7">
        <v>44848</v>
      </c>
      <c r="E32" t="s">
        <v>46</v>
      </c>
      <c r="F32" s="8">
        <v>2863387.8</v>
      </c>
      <c r="G32" t="s">
        <v>27</v>
      </c>
    </row>
    <row r="33" spans="1:7" x14ac:dyDescent="0.25">
      <c r="A33" t="s">
        <v>23</v>
      </c>
      <c r="B33" t="s">
        <v>29</v>
      </c>
      <c r="C33" t="s">
        <v>25</v>
      </c>
      <c r="D33" s="7">
        <v>44849</v>
      </c>
      <c r="E33" t="s">
        <v>47</v>
      </c>
      <c r="F33" s="8">
        <v>187809.6</v>
      </c>
      <c r="G33" t="s">
        <v>27</v>
      </c>
    </row>
    <row r="34" spans="1:7" x14ac:dyDescent="0.25">
      <c r="A34" t="s">
        <v>23</v>
      </c>
      <c r="B34" t="s">
        <v>29</v>
      </c>
      <c r="C34" t="s">
        <v>30</v>
      </c>
      <c r="D34" s="7">
        <v>44851</v>
      </c>
      <c r="E34" t="s">
        <v>44</v>
      </c>
      <c r="F34" s="8">
        <v>660714.28</v>
      </c>
      <c r="G34" t="s">
        <v>27</v>
      </c>
    </row>
    <row r="35" spans="1:7" x14ac:dyDescent="0.25">
      <c r="A35" t="s">
        <v>23</v>
      </c>
      <c r="B35" t="s">
        <v>29</v>
      </c>
      <c r="C35" t="s">
        <v>30</v>
      </c>
      <c r="D35" s="7">
        <v>44856</v>
      </c>
      <c r="E35" t="s">
        <v>46</v>
      </c>
      <c r="F35" s="8">
        <v>1660303.52</v>
      </c>
      <c r="G35" t="s">
        <v>27</v>
      </c>
    </row>
    <row r="36" spans="1:7" x14ac:dyDescent="0.25">
      <c r="A36" t="s">
        <v>23</v>
      </c>
      <c r="B36" t="s">
        <v>24</v>
      </c>
      <c r="C36" t="s">
        <v>25</v>
      </c>
      <c r="D36" s="7">
        <v>44860</v>
      </c>
      <c r="E36" t="s">
        <v>39</v>
      </c>
      <c r="F36" s="8">
        <v>235144</v>
      </c>
      <c r="G36" t="s">
        <v>27</v>
      </c>
    </row>
    <row r="37" spans="1:7" x14ac:dyDescent="0.25">
      <c r="A37" t="s">
        <v>23</v>
      </c>
      <c r="B37" t="s">
        <v>29</v>
      </c>
      <c r="C37" t="s">
        <v>30</v>
      </c>
      <c r="D37" s="7">
        <v>44861</v>
      </c>
      <c r="E37" t="s">
        <v>40</v>
      </c>
      <c r="F37" s="8">
        <v>1904762</v>
      </c>
      <c r="G37" t="s">
        <v>27</v>
      </c>
    </row>
    <row r="38" spans="1:7" x14ac:dyDescent="0.25">
      <c r="A38" t="s">
        <v>23</v>
      </c>
      <c r="B38" t="s">
        <v>24</v>
      </c>
      <c r="C38" t="s">
        <v>30</v>
      </c>
      <c r="D38" s="7">
        <v>44864</v>
      </c>
      <c r="E38" t="s">
        <v>41</v>
      </c>
      <c r="F38" s="8">
        <v>285600</v>
      </c>
      <c r="G38" t="s">
        <v>27</v>
      </c>
    </row>
    <row r="39" spans="1:7" x14ac:dyDescent="0.25">
      <c r="A39" t="s">
        <v>23</v>
      </c>
      <c r="B39" t="s">
        <v>24</v>
      </c>
      <c r="C39" t="s">
        <v>25</v>
      </c>
      <c r="D39" s="7">
        <v>44872</v>
      </c>
      <c r="E39" t="s">
        <v>26</v>
      </c>
      <c r="F39" s="8">
        <v>306890</v>
      </c>
      <c r="G39" t="s">
        <v>27</v>
      </c>
    </row>
    <row r="40" spans="1:7" x14ac:dyDescent="0.25">
      <c r="A40" t="s">
        <v>23</v>
      </c>
      <c r="B40" t="s">
        <v>24</v>
      </c>
      <c r="C40" t="s">
        <v>25</v>
      </c>
      <c r="D40" s="7">
        <v>44872</v>
      </c>
      <c r="E40" t="s">
        <v>28</v>
      </c>
      <c r="F40" s="8">
        <v>918134</v>
      </c>
      <c r="G40" t="s">
        <v>27</v>
      </c>
    </row>
    <row r="41" spans="1:7" x14ac:dyDescent="0.25">
      <c r="A41" t="s">
        <v>23</v>
      </c>
      <c r="B41" t="s">
        <v>29</v>
      </c>
      <c r="C41" t="s">
        <v>30</v>
      </c>
      <c r="D41" s="7">
        <v>44874</v>
      </c>
      <c r="E41" t="s">
        <v>48</v>
      </c>
      <c r="F41" s="8">
        <v>619047.62</v>
      </c>
      <c r="G41" t="s">
        <v>27</v>
      </c>
    </row>
    <row r="42" spans="1:7" x14ac:dyDescent="0.25">
      <c r="A42" t="s">
        <v>23</v>
      </c>
      <c r="B42" t="s">
        <v>29</v>
      </c>
      <c r="C42" t="s">
        <v>30</v>
      </c>
      <c r="D42" s="7">
        <v>44874</v>
      </c>
      <c r="E42" t="s">
        <v>49</v>
      </c>
      <c r="F42" s="8">
        <v>581486.66</v>
      </c>
      <c r="G42" t="s">
        <v>27</v>
      </c>
    </row>
    <row r="43" spans="1:7" x14ac:dyDescent="0.25">
      <c r="A43" t="s">
        <v>23</v>
      </c>
      <c r="B43" t="s">
        <v>24</v>
      </c>
      <c r="C43" t="s">
        <v>25</v>
      </c>
      <c r="D43" s="7">
        <v>44877</v>
      </c>
      <c r="E43" t="s">
        <v>50</v>
      </c>
      <c r="F43" s="8">
        <v>904482</v>
      </c>
      <c r="G43" t="s">
        <v>27</v>
      </c>
    </row>
    <row r="44" spans="1:7" x14ac:dyDescent="0.25">
      <c r="A44" t="s">
        <v>23</v>
      </c>
      <c r="B44" t="s">
        <v>29</v>
      </c>
      <c r="C44" t="s">
        <v>25</v>
      </c>
      <c r="D44" s="7">
        <v>44879</v>
      </c>
      <c r="E44" t="s">
        <v>47</v>
      </c>
      <c r="F44" s="8">
        <v>948429.9</v>
      </c>
      <c r="G44" t="s">
        <v>27</v>
      </c>
    </row>
    <row r="45" spans="1:7" x14ac:dyDescent="0.25">
      <c r="A45" t="s">
        <v>23</v>
      </c>
      <c r="B45" t="s">
        <v>24</v>
      </c>
      <c r="C45" t="s">
        <v>25</v>
      </c>
      <c r="D45" s="7">
        <v>44883</v>
      </c>
      <c r="E45" t="s">
        <v>39</v>
      </c>
      <c r="F45" s="8">
        <v>269331</v>
      </c>
      <c r="G45" t="s">
        <v>27</v>
      </c>
    </row>
    <row r="46" spans="1:7" x14ac:dyDescent="0.25">
      <c r="A46" t="s">
        <v>23</v>
      </c>
      <c r="B46" t="s">
        <v>24</v>
      </c>
      <c r="C46" t="s">
        <v>25</v>
      </c>
      <c r="D46" s="7">
        <v>44886</v>
      </c>
      <c r="E46" t="s">
        <v>28</v>
      </c>
      <c r="F46" s="8">
        <v>885772</v>
      </c>
      <c r="G46" t="s">
        <v>27</v>
      </c>
    </row>
    <row r="47" spans="1:7" x14ac:dyDescent="0.25">
      <c r="A47" t="s">
        <v>23</v>
      </c>
      <c r="B47" t="s">
        <v>24</v>
      </c>
      <c r="C47" t="s">
        <v>25</v>
      </c>
      <c r="D47" s="7">
        <v>44886</v>
      </c>
      <c r="E47" t="s">
        <v>43</v>
      </c>
      <c r="F47" s="8">
        <v>109000</v>
      </c>
      <c r="G47" t="s">
        <v>27</v>
      </c>
    </row>
    <row r="48" spans="1:7" x14ac:dyDescent="0.25">
      <c r="A48" t="s">
        <v>23</v>
      </c>
      <c r="B48" t="s">
        <v>24</v>
      </c>
      <c r="C48" t="s">
        <v>25</v>
      </c>
      <c r="D48" s="7">
        <v>44888</v>
      </c>
      <c r="E48" t="s">
        <v>26</v>
      </c>
      <c r="F48" s="8">
        <v>172380</v>
      </c>
      <c r="G48" t="s">
        <v>27</v>
      </c>
    </row>
    <row r="49" spans="1:7" x14ac:dyDescent="0.25">
      <c r="A49" t="s">
        <v>23</v>
      </c>
      <c r="B49" t="s">
        <v>24</v>
      </c>
      <c r="C49" t="s">
        <v>30</v>
      </c>
      <c r="D49" s="7">
        <v>44892</v>
      </c>
      <c r="E49" t="s">
        <v>51</v>
      </c>
      <c r="F49" s="8">
        <v>285714</v>
      </c>
      <c r="G49" t="s">
        <v>27</v>
      </c>
    </row>
    <row r="50" spans="1:7" x14ac:dyDescent="0.25">
      <c r="A50" t="s">
        <v>23</v>
      </c>
      <c r="B50" t="s">
        <v>29</v>
      </c>
      <c r="C50" t="s">
        <v>30</v>
      </c>
      <c r="D50" s="7">
        <v>44893</v>
      </c>
      <c r="E50" t="s">
        <v>52</v>
      </c>
      <c r="F50" s="8">
        <v>447619</v>
      </c>
      <c r="G50" t="s">
        <v>27</v>
      </c>
    </row>
    <row r="51" spans="1:7" x14ac:dyDescent="0.25">
      <c r="A51" t="s">
        <v>23</v>
      </c>
      <c r="B51" t="s">
        <v>29</v>
      </c>
      <c r="C51" t="s">
        <v>25</v>
      </c>
      <c r="D51" s="7">
        <v>44893</v>
      </c>
      <c r="E51" t="s">
        <v>47</v>
      </c>
      <c r="F51" s="8">
        <v>799952.88</v>
      </c>
      <c r="G51" t="s">
        <v>27</v>
      </c>
    </row>
    <row r="52" spans="1:7" x14ac:dyDescent="0.25">
      <c r="A52" t="s">
        <v>23</v>
      </c>
      <c r="B52" t="s">
        <v>24</v>
      </c>
      <c r="C52" t="s">
        <v>25</v>
      </c>
      <c r="D52" s="7">
        <v>44896</v>
      </c>
      <c r="E52" t="s">
        <v>39</v>
      </c>
      <c r="F52" s="8">
        <v>360038</v>
      </c>
      <c r="G52" t="s">
        <v>27</v>
      </c>
    </row>
    <row r="53" spans="1:7" x14ac:dyDescent="0.25">
      <c r="A53" t="s">
        <v>23</v>
      </c>
      <c r="B53" t="s">
        <v>24</v>
      </c>
      <c r="C53" t="s">
        <v>25</v>
      </c>
      <c r="D53" s="7">
        <v>44896</v>
      </c>
      <c r="E53" t="s">
        <v>28</v>
      </c>
      <c r="F53" s="8">
        <v>877606</v>
      </c>
      <c r="G53" t="s">
        <v>27</v>
      </c>
    </row>
    <row r="54" spans="1:7" x14ac:dyDescent="0.25">
      <c r="A54" t="s">
        <v>23</v>
      </c>
      <c r="B54" t="s">
        <v>24</v>
      </c>
      <c r="C54" t="s">
        <v>25</v>
      </c>
      <c r="D54" s="7">
        <v>44900</v>
      </c>
      <c r="E54" t="s">
        <v>26</v>
      </c>
      <c r="F54" s="8">
        <v>117047.4</v>
      </c>
      <c r="G54" t="s">
        <v>27</v>
      </c>
    </row>
    <row r="55" spans="1:7" x14ac:dyDescent="0.25">
      <c r="A55" t="s">
        <v>23</v>
      </c>
      <c r="B55" t="s">
        <v>24</v>
      </c>
      <c r="C55" t="s">
        <v>25</v>
      </c>
      <c r="D55" s="7">
        <v>44904</v>
      </c>
      <c r="E55" t="s">
        <v>28</v>
      </c>
      <c r="F55" s="8">
        <v>783277</v>
      </c>
      <c r="G55" t="s">
        <v>27</v>
      </c>
    </row>
    <row r="56" spans="1:7" x14ac:dyDescent="0.25">
      <c r="A56" t="s">
        <v>23</v>
      </c>
      <c r="B56" t="s">
        <v>24</v>
      </c>
      <c r="C56" t="s">
        <v>25</v>
      </c>
      <c r="D56" s="7">
        <v>44914</v>
      </c>
      <c r="E56" t="s">
        <v>39</v>
      </c>
      <c r="F56" s="8">
        <v>163296</v>
      </c>
      <c r="G56" t="s">
        <v>27</v>
      </c>
    </row>
    <row r="57" spans="1:7" x14ac:dyDescent="0.25">
      <c r="A57" t="s">
        <v>23</v>
      </c>
      <c r="B57" t="s">
        <v>24</v>
      </c>
      <c r="C57" t="s">
        <v>25</v>
      </c>
      <c r="D57" s="7">
        <v>44915</v>
      </c>
      <c r="E57" t="s">
        <v>32</v>
      </c>
      <c r="F57" s="8">
        <v>531095</v>
      </c>
      <c r="G57" t="s">
        <v>27</v>
      </c>
    </row>
    <row r="58" spans="1:7" x14ac:dyDescent="0.25">
      <c r="A58" t="s">
        <v>23</v>
      </c>
      <c r="B58" t="s">
        <v>24</v>
      </c>
      <c r="C58" t="s">
        <v>30</v>
      </c>
      <c r="D58" s="7">
        <v>44916</v>
      </c>
      <c r="E58" t="s">
        <v>51</v>
      </c>
      <c r="F58" s="8">
        <v>459050</v>
      </c>
      <c r="G58" t="s">
        <v>27</v>
      </c>
    </row>
    <row r="59" spans="1:7" x14ac:dyDescent="0.25">
      <c r="A59" t="s">
        <v>23</v>
      </c>
      <c r="B59" t="s">
        <v>24</v>
      </c>
      <c r="C59" t="s">
        <v>25</v>
      </c>
      <c r="D59" s="7">
        <v>44922</v>
      </c>
      <c r="E59" t="s">
        <v>26</v>
      </c>
      <c r="F59" s="8">
        <v>279334</v>
      </c>
      <c r="G59" t="s">
        <v>27</v>
      </c>
    </row>
    <row r="60" spans="1:7" x14ac:dyDescent="0.25">
      <c r="A60" t="s">
        <v>23</v>
      </c>
      <c r="B60" t="s">
        <v>24</v>
      </c>
      <c r="C60" t="s">
        <v>25</v>
      </c>
      <c r="D60" s="7">
        <v>44929</v>
      </c>
      <c r="E60" t="s">
        <v>50</v>
      </c>
      <c r="F60" s="8">
        <v>1026289</v>
      </c>
      <c r="G60" t="s">
        <v>27</v>
      </c>
    </row>
    <row r="61" spans="1:7" x14ac:dyDescent="0.25">
      <c r="A61" t="s">
        <v>23</v>
      </c>
      <c r="B61" t="s">
        <v>29</v>
      </c>
      <c r="C61" t="s">
        <v>30</v>
      </c>
      <c r="D61" s="7">
        <v>44931</v>
      </c>
      <c r="E61" t="s">
        <v>38</v>
      </c>
      <c r="F61" s="8">
        <v>331048</v>
      </c>
      <c r="G61" t="s">
        <v>27</v>
      </c>
    </row>
    <row r="62" spans="1:7" x14ac:dyDescent="0.25">
      <c r="A62" t="s">
        <v>23</v>
      </c>
      <c r="B62" t="s">
        <v>24</v>
      </c>
      <c r="C62" t="s">
        <v>25</v>
      </c>
      <c r="D62" s="7">
        <v>44933</v>
      </c>
      <c r="E62" t="s">
        <v>26</v>
      </c>
      <c r="F62" s="8">
        <v>163045</v>
      </c>
      <c r="G62" t="s">
        <v>27</v>
      </c>
    </row>
    <row r="63" spans="1:7" x14ac:dyDescent="0.25">
      <c r="A63" t="s">
        <v>23</v>
      </c>
      <c r="B63" t="s">
        <v>24</v>
      </c>
      <c r="C63" t="s">
        <v>25</v>
      </c>
      <c r="D63" s="7">
        <v>44939</v>
      </c>
      <c r="E63" t="s">
        <v>48</v>
      </c>
      <c r="F63" s="8">
        <v>697762.6</v>
      </c>
      <c r="G63" t="s">
        <v>27</v>
      </c>
    </row>
    <row r="64" spans="1:7" x14ac:dyDescent="0.25">
      <c r="A64" t="s">
        <v>23</v>
      </c>
      <c r="B64" t="s">
        <v>29</v>
      </c>
      <c r="C64" t="s">
        <v>30</v>
      </c>
      <c r="D64" s="7">
        <v>44940</v>
      </c>
      <c r="E64" t="s">
        <v>49</v>
      </c>
      <c r="F64" s="8">
        <v>474285.72</v>
      </c>
      <c r="G64" t="s">
        <v>27</v>
      </c>
    </row>
    <row r="65" spans="1:7" x14ac:dyDescent="0.25">
      <c r="A65" t="s">
        <v>23</v>
      </c>
      <c r="B65" t="s">
        <v>29</v>
      </c>
      <c r="C65" t="s">
        <v>30</v>
      </c>
      <c r="D65" s="7">
        <v>44947</v>
      </c>
      <c r="E65" t="s">
        <v>53</v>
      </c>
      <c r="F65" s="8">
        <v>1267842.1599999999</v>
      </c>
      <c r="G65" t="s">
        <v>27</v>
      </c>
    </row>
    <row r="66" spans="1:7" x14ac:dyDescent="0.25">
      <c r="A66" t="s">
        <v>23</v>
      </c>
      <c r="B66" t="s">
        <v>29</v>
      </c>
      <c r="C66" t="s">
        <v>25</v>
      </c>
      <c r="D66" s="7">
        <v>44949</v>
      </c>
      <c r="E66" t="s">
        <v>54</v>
      </c>
      <c r="F66" s="8">
        <v>238095.48</v>
      </c>
      <c r="G66" t="s">
        <v>27</v>
      </c>
    </row>
    <row r="67" spans="1:7" x14ac:dyDescent="0.25">
      <c r="A67" t="s">
        <v>23</v>
      </c>
      <c r="B67" t="s">
        <v>24</v>
      </c>
      <c r="C67" t="s">
        <v>25</v>
      </c>
      <c r="D67" s="7">
        <v>44953</v>
      </c>
      <c r="E67" t="s">
        <v>33</v>
      </c>
      <c r="F67" s="8">
        <v>660143</v>
      </c>
      <c r="G67" t="s">
        <v>27</v>
      </c>
    </row>
    <row r="68" spans="1:7" x14ac:dyDescent="0.25">
      <c r="A68" t="s">
        <v>23</v>
      </c>
      <c r="B68" t="s">
        <v>24</v>
      </c>
      <c r="C68" t="s">
        <v>30</v>
      </c>
      <c r="D68" s="7">
        <v>44957</v>
      </c>
      <c r="E68" t="s">
        <v>52</v>
      </c>
      <c r="F68" s="8">
        <v>666666.66</v>
      </c>
      <c r="G68" t="s">
        <v>27</v>
      </c>
    </row>
    <row r="69" spans="1:7" x14ac:dyDescent="0.25">
      <c r="A69" t="s">
        <v>23</v>
      </c>
      <c r="B69" t="s">
        <v>29</v>
      </c>
      <c r="C69" t="s">
        <v>30</v>
      </c>
      <c r="D69" s="7">
        <v>44957</v>
      </c>
      <c r="E69" t="s">
        <v>34</v>
      </c>
      <c r="F69" s="8">
        <v>285731.20000000001</v>
      </c>
      <c r="G69" t="s">
        <v>27</v>
      </c>
    </row>
    <row r="70" spans="1:7" x14ac:dyDescent="0.25">
      <c r="A70" t="s">
        <v>23</v>
      </c>
      <c r="B70" t="s">
        <v>24</v>
      </c>
      <c r="C70" t="s">
        <v>25</v>
      </c>
      <c r="D70" s="7">
        <v>44963</v>
      </c>
      <c r="E70" t="s">
        <v>50</v>
      </c>
      <c r="F70" s="8">
        <v>491149.52</v>
      </c>
      <c r="G70" t="s">
        <v>27</v>
      </c>
    </row>
    <row r="71" spans="1:7" x14ac:dyDescent="0.25">
      <c r="A71" t="s">
        <v>23</v>
      </c>
      <c r="B71" t="s">
        <v>24</v>
      </c>
      <c r="C71" t="s">
        <v>25</v>
      </c>
      <c r="D71" s="7">
        <v>44967</v>
      </c>
      <c r="E71" t="s">
        <v>39</v>
      </c>
      <c r="F71" s="8">
        <v>260708</v>
      </c>
      <c r="G71" t="s">
        <v>27</v>
      </c>
    </row>
    <row r="72" spans="1:7" x14ac:dyDescent="0.25">
      <c r="A72" t="s">
        <v>23</v>
      </c>
      <c r="B72" t="s">
        <v>24</v>
      </c>
      <c r="C72" t="s">
        <v>30</v>
      </c>
      <c r="D72" s="7">
        <v>44969</v>
      </c>
      <c r="E72" t="s">
        <v>51</v>
      </c>
      <c r="F72" s="8">
        <v>95240</v>
      </c>
      <c r="G72" t="s">
        <v>27</v>
      </c>
    </row>
    <row r="73" spans="1:7" x14ac:dyDescent="0.25">
      <c r="A73" t="s">
        <v>23</v>
      </c>
      <c r="B73" t="s">
        <v>24</v>
      </c>
      <c r="C73" t="s">
        <v>25</v>
      </c>
      <c r="D73" s="7">
        <v>44971</v>
      </c>
      <c r="E73" t="s">
        <v>55</v>
      </c>
      <c r="F73" s="8">
        <v>958958</v>
      </c>
      <c r="G73" t="s">
        <v>27</v>
      </c>
    </row>
    <row r="74" spans="1:7" x14ac:dyDescent="0.25">
      <c r="A74" t="s">
        <v>23</v>
      </c>
      <c r="B74" t="s">
        <v>24</v>
      </c>
      <c r="C74" t="s">
        <v>25</v>
      </c>
      <c r="D74" s="7">
        <v>44972</v>
      </c>
      <c r="E74" t="s">
        <v>26</v>
      </c>
      <c r="F74" s="8">
        <v>339754</v>
      </c>
      <c r="G74" t="s">
        <v>27</v>
      </c>
    </row>
    <row r="75" spans="1:7" x14ac:dyDescent="0.25">
      <c r="A75" t="s">
        <v>23</v>
      </c>
      <c r="B75" t="s">
        <v>24</v>
      </c>
      <c r="C75" t="s">
        <v>25</v>
      </c>
      <c r="D75" s="7">
        <v>44981</v>
      </c>
      <c r="E75" t="s">
        <v>50</v>
      </c>
      <c r="F75" s="8">
        <v>664915</v>
      </c>
      <c r="G75" t="s">
        <v>27</v>
      </c>
    </row>
    <row r="76" spans="1:7" x14ac:dyDescent="0.25">
      <c r="A76" t="s">
        <v>23</v>
      </c>
      <c r="B76" t="s">
        <v>24</v>
      </c>
      <c r="C76" t="s">
        <v>25</v>
      </c>
      <c r="D76" s="7">
        <v>45000</v>
      </c>
      <c r="E76" t="s">
        <v>56</v>
      </c>
      <c r="F76" s="8">
        <v>150361</v>
      </c>
      <c r="G76" t="s">
        <v>27</v>
      </c>
    </row>
    <row r="77" spans="1:7" x14ac:dyDescent="0.25">
      <c r="A77" t="s">
        <v>23</v>
      </c>
      <c r="B77" t="s">
        <v>24</v>
      </c>
      <c r="C77" t="s">
        <v>25</v>
      </c>
      <c r="D77" s="7">
        <v>45001</v>
      </c>
      <c r="E77" t="s">
        <v>26</v>
      </c>
      <c r="F77" s="8">
        <v>121905</v>
      </c>
      <c r="G77" t="s">
        <v>27</v>
      </c>
    </row>
    <row r="78" spans="1:7" x14ac:dyDescent="0.25">
      <c r="A78" t="s">
        <v>23</v>
      </c>
      <c r="B78" t="s">
        <v>29</v>
      </c>
      <c r="C78" t="s">
        <v>30</v>
      </c>
      <c r="D78" s="7">
        <v>45006</v>
      </c>
      <c r="E78" t="s">
        <v>57</v>
      </c>
      <c r="F78" s="8">
        <v>919047.61</v>
      </c>
      <c r="G78" t="s">
        <v>27</v>
      </c>
    </row>
    <row r="79" spans="1:7" x14ac:dyDescent="0.25">
      <c r="A79" t="s">
        <v>23</v>
      </c>
      <c r="B79" t="s">
        <v>24</v>
      </c>
      <c r="C79" t="s">
        <v>25</v>
      </c>
      <c r="D79" s="7">
        <v>45007</v>
      </c>
      <c r="E79" t="s">
        <v>50</v>
      </c>
      <c r="F79" s="8">
        <v>641279</v>
      </c>
      <c r="G79" t="s">
        <v>27</v>
      </c>
    </row>
    <row r="80" spans="1:7" x14ac:dyDescent="0.25">
      <c r="A80" t="s">
        <v>23</v>
      </c>
      <c r="B80" t="s">
        <v>29</v>
      </c>
      <c r="C80" t="s">
        <v>30</v>
      </c>
      <c r="D80" s="7">
        <v>45010</v>
      </c>
      <c r="E80" t="s">
        <v>58</v>
      </c>
      <c r="F80" s="8">
        <v>190464</v>
      </c>
      <c r="G80" t="s">
        <v>27</v>
      </c>
    </row>
    <row r="81" spans="1:7" x14ac:dyDescent="0.25">
      <c r="A81" t="s">
        <v>23</v>
      </c>
      <c r="B81" t="s">
        <v>24</v>
      </c>
      <c r="C81" t="s">
        <v>25</v>
      </c>
      <c r="D81" s="7">
        <v>45012</v>
      </c>
      <c r="E81" t="s">
        <v>32</v>
      </c>
      <c r="F81" s="8">
        <v>786228.6</v>
      </c>
      <c r="G81" t="s">
        <v>27</v>
      </c>
    </row>
    <row r="82" spans="1:7" x14ac:dyDescent="0.25">
      <c r="A82" t="s">
        <v>23</v>
      </c>
      <c r="B82" t="s">
        <v>29</v>
      </c>
      <c r="C82" t="s">
        <v>30</v>
      </c>
      <c r="D82" s="7">
        <v>45012</v>
      </c>
      <c r="E82" t="s">
        <v>34</v>
      </c>
      <c r="F82" s="8">
        <v>778208</v>
      </c>
      <c r="G82" t="s">
        <v>27</v>
      </c>
    </row>
    <row r="83" spans="1:7" x14ac:dyDescent="0.25">
      <c r="A83" t="s">
        <v>23</v>
      </c>
      <c r="B83" t="s">
        <v>24</v>
      </c>
      <c r="C83" t="s">
        <v>30</v>
      </c>
      <c r="D83" s="7">
        <v>45013</v>
      </c>
      <c r="E83" t="s">
        <v>38</v>
      </c>
      <c r="F83" s="8">
        <v>488800</v>
      </c>
      <c r="G83" t="s">
        <v>27</v>
      </c>
    </row>
    <row r="84" spans="1:7" x14ac:dyDescent="0.25">
      <c r="A84" t="s">
        <v>23</v>
      </c>
      <c r="B84" t="s">
        <v>29</v>
      </c>
      <c r="C84" t="s">
        <v>30</v>
      </c>
      <c r="D84" s="7">
        <v>45014</v>
      </c>
      <c r="E84" t="s">
        <v>49</v>
      </c>
      <c r="F84" s="8">
        <v>358095.24</v>
      </c>
      <c r="G84" t="s">
        <v>27</v>
      </c>
    </row>
    <row r="85" spans="1:7" x14ac:dyDescent="0.25">
      <c r="A85" t="s">
        <v>23</v>
      </c>
      <c r="B85" t="s">
        <v>24</v>
      </c>
      <c r="C85" t="s">
        <v>30</v>
      </c>
      <c r="D85" s="7">
        <v>45015</v>
      </c>
      <c r="E85" t="s">
        <v>42</v>
      </c>
      <c r="F85" s="8">
        <v>216000</v>
      </c>
      <c r="G85" t="s">
        <v>27</v>
      </c>
    </row>
    <row r="86" spans="1:7" x14ac:dyDescent="0.25">
      <c r="A86" t="s">
        <v>23</v>
      </c>
      <c r="B86" t="s">
        <v>29</v>
      </c>
      <c r="C86" t="s">
        <v>30</v>
      </c>
      <c r="D86" s="7">
        <v>45015</v>
      </c>
      <c r="E86" t="s">
        <v>49</v>
      </c>
      <c r="F86" s="8">
        <v>308571.42</v>
      </c>
      <c r="G86" t="s">
        <v>27</v>
      </c>
    </row>
    <row r="87" spans="1:7" x14ac:dyDescent="0.25">
      <c r="A87" t="s">
        <v>23</v>
      </c>
      <c r="B87" t="s">
        <v>24</v>
      </c>
      <c r="C87" t="s">
        <v>25</v>
      </c>
      <c r="D87" s="7">
        <v>45016</v>
      </c>
      <c r="E87" t="s">
        <v>43</v>
      </c>
      <c r="F87" s="8">
        <v>85180</v>
      </c>
      <c r="G87" t="s">
        <v>27</v>
      </c>
    </row>
    <row r="88" spans="1:7" x14ac:dyDescent="0.25">
      <c r="A88" t="s">
        <v>23</v>
      </c>
      <c r="B88" t="s">
        <v>24</v>
      </c>
      <c r="C88" t="s">
        <v>25</v>
      </c>
      <c r="D88" s="7">
        <v>45016</v>
      </c>
      <c r="E88" t="s">
        <v>59</v>
      </c>
      <c r="F88" s="8">
        <v>48191</v>
      </c>
      <c r="G88" t="s">
        <v>27</v>
      </c>
    </row>
    <row r="89" spans="1:7" x14ac:dyDescent="0.25">
      <c r="A89" t="s">
        <v>23</v>
      </c>
      <c r="B89" t="s">
        <v>24</v>
      </c>
      <c r="C89" t="s">
        <v>25</v>
      </c>
      <c r="D89" s="7">
        <v>45021</v>
      </c>
      <c r="E89" t="s">
        <v>60</v>
      </c>
      <c r="F89" s="8">
        <v>372333</v>
      </c>
      <c r="G89" t="s">
        <v>61</v>
      </c>
    </row>
    <row r="90" spans="1:7" x14ac:dyDescent="0.25">
      <c r="A90" t="s">
        <v>23</v>
      </c>
      <c r="B90" t="s">
        <v>24</v>
      </c>
      <c r="C90" t="s">
        <v>25</v>
      </c>
      <c r="D90" s="7">
        <v>45027</v>
      </c>
      <c r="E90" t="s">
        <v>39</v>
      </c>
      <c r="F90" s="8">
        <v>395262</v>
      </c>
      <c r="G90" t="s">
        <v>61</v>
      </c>
    </row>
    <row r="91" spans="1:7" x14ac:dyDescent="0.25">
      <c r="A91" t="s">
        <v>23</v>
      </c>
      <c r="B91" t="s">
        <v>29</v>
      </c>
      <c r="C91" t="s">
        <v>30</v>
      </c>
      <c r="D91" s="7">
        <v>45030</v>
      </c>
      <c r="E91" t="s">
        <v>38</v>
      </c>
      <c r="F91" s="8">
        <v>297143</v>
      </c>
      <c r="G91" t="s">
        <v>61</v>
      </c>
    </row>
    <row r="92" spans="1:7" x14ac:dyDescent="0.25">
      <c r="A92" t="s">
        <v>23</v>
      </c>
      <c r="B92" t="s">
        <v>29</v>
      </c>
      <c r="C92" t="s">
        <v>30</v>
      </c>
      <c r="D92" s="7">
        <v>45043</v>
      </c>
      <c r="E92" t="s">
        <v>62</v>
      </c>
      <c r="F92" s="8">
        <v>595250</v>
      </c>
      <c r="G92" t="s">
        <v>61</v>
      </c>
    </row>
    <row r="93" spans="1:7" x14ac:dyDescent="0.25">
      <c r="A93" t="s">
        <v>23</v>
      </c>
      <c r="B93" t="s">
        <v>24</v>
      </c>
      <c r="C93" t="s">
        <v>25</v>
      </c>
      <c r="D93" s="7">
        <v>45045</v>
      </c>
      <c r="E93" t="s">
        <v>63</v>
      </c>
      <c r="F93" s="8">
        <v>117619</v>
      </c>
      <c r="G93" t="s">
        <v>61</v>
      </c>
    </row>
    <row r="94" spans="1:7" x14ac:dyDescent="0.25">
      <c r="A94" t="s">
        <v>23</v>
      </c>
      <c r="B94" t="s">
        <v>29</v>
      </c>
      <c r="C94" t="s">
        <v>30</v>
      </c>
      <c r="D94" s="7">
        <v>45045</v>
      </c>
      <c r="E94" t="s">
        <v>49</v>
      </c>
      <c r="F94" s="8">
        <v>172952.38</v>
      </c>
      <c r="G94" t="s">
        <v>61</v>
      </c>
    </row>
    <row r="95" spans="1:7" x14ac:dyDescent="0.25">
      <c r="A95" t="s">
        <v>23</v>
      </c>
      <c r="B95" t="s">
        <v>29</v>
      </c>
      <c r="C95" t="s">
        <v>30</v>
      </c>
      <c r="D95" s="7">
        <v>45046</v>
      </c>
      <c r="E95" t="s">
        <v>41</v>
      </c>
      <c r="F95" s="8">
        <v>476190.48</v>
      </c>
      <c r="G95" t="s">
        <v>61</v>
      </c>
    </row>
    <row r="96" spans="1:7" x14ac:dyDescent="0.25">
      <c r="A96" t="s">
        <v>23</v>
      </c>
      <c r="B96" t="s">
        <v>24</v>
      </c>
      <c r="C96" t="s">
        <v>25</v>
      </c>
      <c r="D96" s="7">
        <v>45049</v>
      </c>
      <c r="E96" t="s">
        <v>64</v>
      </c>
      <c r="F96" s="8">
        <v>332257</v>
      </c>
      <c r="G96" t="s">
        <v>61</v>
      </c>
    </row>
    <row r="97" spans="1:7" x14ac:dyDescent="0.25">
      <c r="A97" t="s">
        <v>23</v>
      </c>
      <c r="B97" t="s">
        <v>24</v>
      </c>
      <c r="C97" t="s">
        <v>25</v>
      </c>
      <c r="D97" s="7">
        <v>45051</v>
      </c>
      <c r="E97" t="s">
        <v>39</v>
      </c>
      <c r="F97" s="8">
        <v>182857.60000000001</v>
      </c>
      <c r="G97" t="s">
        <v>61</v>
      </c>
    </row>
    <row r="98" spans="1:7" x14ac:dyDescent="0.25">
      <c r="A98" t="s">
        <v>23</v>
      </c>
      <c r="B98" t="s">
        <v>29</v>
      </c>
      <c r="C98" t="s">
        <v>30</v>
      </c>
      <c r="D98" s="7">
        <v>45051</v>
      </c>
      <c r="E98" t="s">
        <v>49</v>
      </c>
      <c r="F98" s="8">
        <v>17523.8</v>
      </c>
      <c r="G98" t="s">
        <v>61</v>
      </c>
    </row>
    <row r="99" spans="1:7" x14ac:dyDescent="0.25">
      <c r="A99" t="s">
        <v>23</v>
      </c>
      <c r="B99" t="s">
        <v>29</v>
      </c>
      <c r="C99" t="s">
        <v>30</v>
      </c>
      <c r="D99" s="7">
        <v>45052</v>
      </c>
      <c r="E99" t="s">
        <v>49</v>
      </c>
      <c r="F99" s="8">
        <v>290880</v>
      </c>
      <c r="G99" t="s">
        <v>61</v>
      </c>
    </row>
    <row r="100" spans="1:7" x14ac:dyDescent="0.25">
      <c r="A100" t="s">
        <v>23</v>
      </c>
      <c r="B100" t="s">
        <v>29</v>
      </c>
      <c r="C100" t="s">
        <v>30</v>
      </c>
      <c r="D100" s="7">
        <v>45052</v>
      </c>
      <c r="E100" t="s">
        <v>49</v>
      </c>
      <c r="F100" s="8">
        <v>242400</v>
      </c>
      <c r="G100" t="s">
        <v>61</v>
      </c>
    </row>
    <row r="101" spans="1:7" x14ac:dyDescent="0.25">
      <c r="A101" t="s">
        <v>23</v>
      </c>
      <c r="B101" t="s">
        <v>24</v>
      </c>
      <c r="C101" t="s">
        <v>25</v>
      </c>
      <c r="D101" s="7">
        <v>45055</v>
      </c>
      <c r="E101" t="s">
        <v>60</v>
      </c>
      <c r="F101" s="8">
        <v>880619</v>
      </c>
      <c r="G101" t="s">
        <v>61</v>
      </c>
    </row>
    <row r="102" spans="1:7" x14ac:dyDescent="0.25">
      <c r="A102" t="s">
        <v>23</v>
      </c>
      <c r="B102" t="s">
        <v>29</v>
      </c>
      <c r="C102" t="s">
        <v>25</v>
      </c>
      <c r="D102" s="7">
        <v>45057</v>
      </c>
      <c r="E102" t="s">
        <v>47</v>
      </c>
      <c r="F102" s="8">
        <v>860714.82</v>
      </c>
      <c r="G102" t="s">
        <v>61</v>
      </c>
    </row>
    <row r="103" spans="1:7" x14ac:dyDescent="0.25">
      <c r="A103" t="s">
        <v>23</v>
      </c>
      <c r="B103" t="s">
        <v>29</v>
      </c>
      <c r="C103" t="s">
        <v>30</v>
      </c>
      <c r="D103" s="7">
        <v>45059</v>
      </c>
      <c r="E103" t="s">
        <v>49</v>
      </c>
      <c r="F103" s="8">
        <v>704285.72</v>
      </c>
      <c r="G103" t="s">
        <v>61</v>
      </c>
    </row>
    <row r="104" spans="1:7" x14ac:dyDescent="0.25">
      <c r="A104" t="s">
        <v>23</v>
      </c>
      <c r="B104" t="s">
        <v>29</v>
      </c>
      <c r="C104" t="s">
        <v>30</v>
      </c>
      <c r="D104" s="7">
        <v>45060</v>
      </c>
      <c r="E104" t="s">
        <v>49</v>
      </c>
      <c r="F104" s="8">
        <v>267187.62</v>
      </c>
      <c r="G104" t="s">
        <v>61</v>
      </c>
    </row>
    <row r="105" spans="1:7" x14ac:dyDescent="0.25">
      <c r="A105" t="s">
        <v>23</v>
      </c>
      <c r="B105" t="s">
        <v>24</v>
      </c>
      <c r="C105" t="s">
        <v>25</v>
      </c>
      <c r="D105" s="7">
        <v>45068</v>
      </c>
      <c r="E105" t="s">
        <v>39</v>
      </c>
      <c r="F105" s="8">
        <v>282191</v>
      </c>
      <c r="G105" t="s">
        <v>61</v>
      </c>
    </row>
    <row r="106" spans="1:7" x14ac:dyDescent="0.25">
      <c r="A106" t="s">
        <v>23</v>
      </c>
      <c r="B106" t="s">
        <v>24</v>
      </c>
      <c r="C106" t="s">
        <v>25</v>
      </c>
      <c r="D106" s="7">
        <v>45068</v>
      </c>
      <c r="E106" t="s">
        <v>64</v>
      </c>
      <c r="F106" s="8">
        <v>168096</v>
      </c>
      <c r="G106" t="s">
        <v>61</v>
      </c>
    </row>
    <row r="107" spans="1:7" x14ac:dyDescent="0.25">
      <c r="A107" t="s">
        <v>23</v>
      </c>
      <c r="B107" t="s">
        <v>24</v>
      </c>
      <c r="C107" t="s">
        <v>25</v>
      </c>
      <c r="D107" s="7">
        <v>45073</v>
      </c>
      <c r="E107" t="s">
        <v>39</v>
      </c>
      <c r="F107" s="8">
        <v>320380</v>
      </c>
      <c r="G107" t="s">
        <v>61</v>
      </c>
    </row>
    <row r="108" spans="1:7" x14ac:dyDescent="0.25">
      <c r="A108" t="s">
        <v>23</v>
      </c>
      <c r="B108" t="s">
        <v>24</v>
      </c>
      <c r="C108" t="s">
        <v>25</v>
      </c>
      <c r="D108" s="7">
        <v>45076</v>
      </c>
      <c r="E108" t="s">
        <v>65</v>
      </c>
      <c r="F108" s="8">
        <v>616194</v>
      </c>
      <c r="G108" t="s">
        <v>61</v>
      </c>
    </row>
    <row r="109" spans="1:7" x14ac:dyDescent="0.25">
      <c r="A109" t="s">
        <v>23</v>
      </c>
      <c r="B109" t="s">
        <v>24</v>
      </c>
      <c r="C109" t="s">
        <v>25</v>
      </c>
      <c r="D109" s="7">
        <v>45077</v>
      </c>
      <c r="E109" t="s">
        <v>39</v>
      </c>
      <c r="F109" s="8">
        <v>197523.8</v>
      </c>
      <c r="G109" t="s">
        <v>61</v>
      </c>
    </row>
    <row r="110" spans="1:7" x14ac:dyDescent="0.25">
      <c r="A110" t="s">
        <v>23</v>
      </c>
      <c r="B110" t="s">
        <v>29</v>
      </c>
      <c r="C110" t="s">
        <v>30</v>
      </c>
      <c r="D110" s="7">
        <v>45077</v>
      </c>
      <c r="E110" t="s">
        <v>66</v>
      </c>
      <c r="F110" s="8">
        <v>380952</v>
      </c>
      <c r="G110" t="s">
        <v>61</v>
      </c>
    </row>
    <row r="111" spans="1:7" x14ac:dyDescent="0.25">
      <c r="A111" t="s">
        <v>23</v>
      </c>
      <c r="B111" t="s">
        <v>24</v>
      </c>
      <c r="C111" t="s">
        <v>25</v>
      </c>
      <c r="D111" s="7">
        <v>45085</v>
      </c>
      <c r="E111" t="s">
        <v>64</v>
      </c>
      <c r="F111" s="8">
        <v>152383.85</v>
      </c>
      <c r="G111" t="s">
        <v>61</v>
      </c>
    </row>
    <row r="112" spans="1:7" x14ac:dyDescent="0.25">
      <c r="A112" t="s">
        <v>23</v>
      </c>
      <c r="B112" t="s">
        <v>24</v>
      </c>
      <c r="C112" t="s">
        <v>25</v>
      </c>
      <c r="D112" s="7">
        <v>45094</v>
      </c>
      <c r="E112" t="s">
        <v>60</v>
      </c>
      <c r="F112" s="8">
        <v>656762</v>
      </c>
      <c r="G112" t="s">
        <v>61</v>
      </c>
    </row>
    <row r="113" spans="1:7" x14ac:dyDescent="0.25">
      <c r="A113" t="s">
        <v>23</v>
      </c>
      <c r="B113" t="s">
        <v>24</v>
      </c>
      <c r="C113" t="s">
        <v>25</v>
      </c>
      <c r="D113" s="7">
        <v>45107</v>
      </c>
      <c r="E113" t="s">
        <v>64</v>
      </c>
      <c r="F113" s="8">
        <v>225620</v>
      </c>
      <c r="G113" t="s">
        <v>61</v>
      </c>
    </row>
    <row r="114" spans="1:7" x14ac:dyDescent="0.25">
      <c r="A114" t="s">
        <v>23</v>
      </c>
      <c r="B114" t="s">
        <v>29</v>
      </c>
      <c r="C114" t="s">
        <v>30</v>
      </c>
      <c r="D114" s="7">
        <v>45107</v>
      </c>
      <c r="E114" t="s">
        <v>66</v>
      </c>
      <c r="F114" s="8">
        <v>476190</v>
      </c>
      <c r="G114" t="s">
        <v>61</v>
      </c>
    </row>
    <row r="115" spans="1:7" x14ac:dyDescent="0.25">
      <c r="A115" t="s">
        <v>23</v>
      </c>
      <c r="B115" t="s">
        <v>29</v>
      </c>
      <c r="C115" t="s">
        <v>30</v>
      </c>
      <c r="D115" s="7">
        <v>45114</v>
      </c>
      <c r="E115" t="s">
        <v>67</v>
      </c>
      <c r="F115" s="8">
        <v>1656000</v>
      </c>
      <c r="G115" t="s">
        <v>61</v>
      </c>
    </row>
    <row r="116" spans="1:7" x14ac:dyDescent="0.25">
      <c r="A116" t="s">
        <v>23</v>
      </c>
      <c r="B116" t="s">
        <v>24</v>
      </c>
      <c r="C116" t="s">
        <v>25</v>
      </c>
      <c r="D116" s="7">
        <v>45121</v>
      </c>
      <c r="E116" t="s">
        <v>39</v>
      </c>
      <c r="F116" s="8">
        <v>123994</v>
      </c>
      <c r="G116" t="s">
        <v>61</v>
      </c>
    </row>
    <row r="117" spans="1:7" x14ac:dyDescent="0.25">
      <c r="A117" t="s">
        <v>23</v>
      </c>
      <c r="B117" t="s">
        <v>24</v>
      </c>
      <c r="C117" t="s">
        <v>25</v>
      </c>
      <c r="D117" s="7">
        <v>45121</v>
      </c>
      <c r="E117" t="s">
        <v>68</v>
      </c>
      <c r="F117" s="8">
        <v>1076096</v>
      </c>
      <c r="G117" t="s">
        <v>61</v>
      </c>
    </row>
    <row r="118" spans="1:7" x14ac:dyDescent="0.25">
      <c r="A118" t="s">
        <v>23</v>
      </c>
      <c r="B118" t="s">
        <v>24</v>
      </c>
      <c r="C118" t="s">
        <v>25</v>
      </c>
      <c r="D118" s="7">
        <v>45126</v>
      </c>
      <c r="E118" t="s">
        <v>69</v>
      </c>
      <c r="F118" s="8">
        <v>190480</v>
      </c>
      <c r="G118" t="s">
        <v>61</v>
      </c>
    </row>
    <row r="119" spans="1:7" x14ac:dyDescent="0.25">
      <c r="A119" t="s">
        <v>23</v>
      </c>
      <c r="B119" t="s">
        <v>24</v>
      </c>
      <c r="C119" t="s">
        <v>25</v>
      </c>
      <c r="D119" s="7">
        <v>45128</v>
      </c>
      <c r="E119" t="s">
        <v>70</v>
      </c>
      <c r="F119" s="8">
        <v>602095.4</v>
      </c>
      <c r="G119" t="s">
        <v>61</v>
      </c>
    </row>
    <row r="120" spans="1:7" x14ac:dyDescent="0.25">
      <c r="A120" t="s">
        <v>23</v>
      </c>
      <c r="B120" t="s">
        <v>29</v>
      </c>
      <c r="C120" t="s">
        <v>30</v>
      </c>
      <c r="D120" s="7">
        <v>45133</v>
      </c>
      <c r="E120" t="s">
        <v>44</v>
      </c>
      <c r="F120" s="8">
        <v>752380.96</v>
      </c>
      <c r="G120" t="s">
        <v>61</v>
      </c>
    </row>
    <row r="121" spans="1:7" x14ac:dyDescent="0.25">
      <c r="A121" t="s">
        <v>23</v>
      </c>
      <c r="B121" t="s">
        <v>29</v>
      </c>
      <c r="C121" t="s">
        <v>25</v>
      </c>
      <c r="D121" s="7">
        <v>45134</v>
      </c>
      <c r="E121" t="s">
        <v>54</v>
      </c>
      <c r="F121" s="8">
        <v>380809.52</v>
      </c>
      <c r="G121" t="s">
        <v>61</v>
      </c>
    </row>
    <row r="122" spans="1:7" x14ac:dyDescent="0.25">
      <c r="A122" t="s">
        <v>23</v>
      </c>
      <c r="B122" t="s">
        <v>24</v>
      </c>
      <c r="C122" t="s">
        <v>30</v>
      </c>
      <c r="D122" s="7">
        <v>45138</v>
      </c>
      <c r="E122" t="s">
        <v>71</v>
      </c>
      <c r="F122" s="8">
        <v>380950</v>
      </c>
      <c r="G122" t="s">
        <v>61</v>
      </c>
    </row>
    <row r="123" spans="1:7" x14ac:dyDescent="0.25">
      <c r="A123" t="s">
        <v>23</v>
      </c>
      <c r="B123" t="s">
        <v>24</v>
      </c>
      <c r="C123" t="s">
        <v>30</v>
      </c>
      <c r="D123" s="7">
        <v>45138</v>
      </c>
      <c r="E123" t="s">
        <v>72</v>
      </c>
      <c r="F123" s="8">
        <v>152381</v>
      </c>
      <c r="G123" t="s">
        <v>61</v>
      </c>
    </row>
    <row r="124" spans="1:7" x14ac:dyDescent="0.25">
      <c r="A124" t="s">
        <v>23</v>
      </c>
      <c r="B124" t="s">
        <v>24</v>
      </c>
      <c r="C124" t="s">
        <v>25</v>
      </c>
      <c r="D124" s="7">
        <v>45138</v>
      </c>
      <c r="E124" t="s">
        <v>73</v>
      </c>
      <c r="F124" s="8">
        <v>120247.54</v>
      </c>
      <c r="G124" t="s">
        <v>61</v>
      </c>
    </row>
    <row r="125" spans="1:7" x14ac:dyDescent="0.25">
      <c r="A125" t="s">
        <v>23</v>
      </c>
      <c r="B125" t="s">
        <v>29</v>
      </c>
      <c r="C125" t="s">
        <v>30</v>
      </c>
      <c r="D125" s="7">
        <v>45138</v>
      </c>
      <c r="E125" t="s">
        <v>74</v>
      </c>
      <c r="F125" s="8">
        <v>544614.40000000002</v>
      </c>
      <c r="G125" t="s">
        <v>61</v>
      </c>
    </row>
    <row r="126" spans="1:7" x14ac:dyDescent="0.25">
      <c r="A126" t="s">
        <v>23</v>
      </c>
      <c r="B126" t="s">
        <v>29</v>
      </c>
      <c r="C126" t="s">
        <v>30</v>
      </c>
      <c r="D126" s="7">
        <v>45138</v>
      </c>
      <c r="E126" t="s">
        <v>75</v>
      </c>
      <c r="F126" s="8">
        <v>1824000</v>
      </c>
      <c r="G126" t="s">
        <v>61</v>
      </c>
    </row>
    <row r="127" spans="1:7" x14ac:dyDescent="0.25">
      <c r="A127" t="s">
        <v>23</v>
      </c>
      <c r="B127" t="s">
        <v>24</v>
      </c>
      <c r="C127" t="s">
        <v>25</v>
      </c>
      <c r="D127" s="7">
        <v>45140</v>
      </c>
      <c r="E127" t="s">
        <v>60</v>
      </c>
      <c r="F127" s="8">
        <v>620005</v>
      </c>
      <c r="G127" t="s">
        <v>61</v>
      </c>
    </row>
    <row r="128" spans="1:7" x14ac:dyDescent="0.25">
      <c r="A128" t="s">
        <v>23</v>
      </c>
      <c r="B128" t="s">
        <v>24</v>
      </c>
      <c r="C128" t="s">
        <v>25</v>
      </c>
      <c r="D128" s="7">
        <v>45141</v>
      </c>
      <c r="E128" t="s">
        <v>76</v>
      </c>
      <c r="F128" s="8">
        <v>818292</v>
      </c>
      <c r="G128" t="s">
        <v>61</v>
      </c>
    </row>
    <row r="129" spans="1:7" x14ac:dyDescent="0.25">
      <c r="A129" t="s">
        <v>23</v>
      </c>
      <c r="B129" t="s">
        <v>29</v>
      </c>
      <c r="C129" t="s">
        <v>25</v>
      </c>
      <c r="D129" s="7">
        <v>45141</v>
      </c>
      <c r="E129" t="s">
        <v>47</v>
      </c>
      <c r="F129" s="8">
        <v>690952.4</v>
      </c>
      <c r="G129" t="s">
        <v>61</v>
      </c>
    </row>
    <row r="130" spans="1:7" x14ac:dyDescent="0.25">
      <c r="A130" t="s">
        <v>23</v>
      </c>
      <c r="B130" t="s">
        <v>24</v>
      </c>
      <c r="C130" t="s">
        <v>25</v>
      </c>
      <c r="D130" s="7">
        <v>45142</v>
      </c>
      <c r="E130" t="s">
        <v>77</v>
      </c>
      <c r="F130" s="8">
        <v>335430.59999999998</v>
      </c>
      <c r="G130" t="s">
        <v>61</v>
      </c>
    </row>
    <row r="131" spans="1:7" x14ac:dyDescent="0.25">
      <c r="A131" t="s">
        <v>23</v>
      </c>
      <c r="B131" t="s">
        <v>24</v>
      </c>
      <c r="C131" t="s">
        <v>25</v>
      </c>
      <c r="D131" s="7">
        <v>45149</v>
      </c>
      <c r="E131" t="s">
        <v>78</v>
      </c>
      <c r="F131" s="8">
        <v>546672</v>
      </c>
      <c r="G131" t="s">
        <v>61</v>
      </c>
    </row>
    <row r="132" spans="1:7" x14ac:dyDescent="0.25">
      <c r="A132" t="s">
        <v>23</v>
      </c>
      <c r="B132" t="s">
        <v>24</v>
      </c>
      <c r="C132" t="s">
        <v>25</v>
      </c>
      <c r="D132" s="7">
        <v>45151</v>
      </c>
      <c r="E132" t="s">
        <v>79</v>
      </c>
      <c r="F132" s="8">
        <v>13461.89</v>
      </c>
      <c r="G132" t="s">
        <v>61</v>
      </c>
    </row>
    <row r="133" spans="1:7" x14ac:dyDescent="0.25">
      <c r="A133" t="s">
        <v>23</v>
      </c>
      <c r="B133" t="s">
        <v>24</v>
      </c>
      <c r="C133" t="s">
        <v>25</v>
      </c>
      <c r="D133" s="7">
        <v>45151</v>
      </c>
      <c r="E133" t="s">
        <v>80</v>
      </c>
      <c r="F133" s="8">
        <v>228571.6</v>
      </c>
      <c r="G133" t="s">
        <v>61</v>
      </c>
    </row>
    <row r="134" spans="1:7" x14ac:dyDescent="0.25">
      <c r="A134" t="s">
        <v>23</v>
      </c>
      <c r="B134" t="s">
        <v>24</v>
      </c>
      <c r="C134" t="s">
        <v>25</v>
      </c>
      <c r="D134" s="7">
        <v>45154</v>
      </c>
      <c r="E134" t="s">
        <v>81</v>
      </c>
      <c r="F134" s="8">
        <v>290759</v>
      </c>
      <c r="G134" t="s">
        <v>61</v>
      </c>
    </row>
    <row r="135" spans="1:7" x14ac:dyDescent="0.25">
      <c r="A135" t="s">
        <v>23</v>
      </c>
      <c r="B135" t="s">
        <v>24</v>
      </c>
      <c r="C135" t="s">
        <v>25</v>
      </c>
      <c r="D135" s="7">
        <v>45161</v>
      </c>
      <c r="E135" t="s">
        <v>60</v>
      </c>
      <c r="F135" s="8">
        <v>769566</v>
      </c>
      <c r="G135" t="s">
        <v>61</v>
      </c>
    </row>
    <row r="136" spans="1:7" x14ac:dyDescent="0.25">
      <c r="A136" t="s">
        <v>23</v>
      </c>
      <c r="B136" t="s">
        <v>24</v>
      </c>
      <c r="C136" t="s">
        <v>25</v>
      </c>
      <c r="D136" s="7">
        <v>45161</v>
      </c>
      <c r="E136" t="s">
        <v>64</v>
      </c>
      <c r="F136" s="8">
        <v>157428.6</v>
      </c>
      <c r="G136" t="s">
        <v>61</v>
      </c>
    </row>
    <row r="137" spans="1:7" x14ac:dyDescent="0.25">
      <c r="A137" t="s">
        <v>23</v>
      </c>
      <c r="B137" t="s">
        <v>29</v>
      </c>
      <c r="C137" t="s">
        <v>30</v>
      </c>
      <c r="D137" s="7">
        <v>45161</v>
      </c>
      <c r="E137" t="s">
        <v>46</v>
      </c>
      <c r="F137" s="8">
        <v>2207695</v>
      </c>
      <c r="G137" t="s">
        <v>61</v>
      </c>
    </row>
    <row r="138" spans="1:7" x14ac:dyDescent="0.25">
      <c r="A138" t="s">
        <v>23</v>
      </c>
      <c r="B138" t="s">
        <v>29</v>
      </c>
      <c r="C138" t="s">
        <v>30</v>
      </c>
      <c r="D138" s="7">
        <v>45161</v>
      </c>
      <c r="E138" t="s">
        <v>46</v>
      </c>
      <c r="F138" s="8">
        <v>211758.5</v>
      </c>
      <c r="G138" t="s">
        <v>61</v>
      </c>
    </row>
    <row r="139" spans="1:7" x14ac:dyDescent="0.25">
      <c r="A139" t="s">
        <v>23</v>
      </c>
      <c r="B139" t="s">
        <v>24</v>
      </c>
      <c r="C139" t="s">
        <v>25</v>
      </c>
      <c r="D139" s="7">
        <v>45164</v>
      </c>
      <c r="E139" t="s">
        <v>82</v>
      </c>
      <c r="F139" s="8">
        <v>72381</v>
      </c>
      <c r="G139" t="s">
        <v>61</v>
      </c>
    </row>
    <row r="140" spans="1:7" x14ac:dyDescent="0.25">
      <c r="A140" t="s">
        <v>23</v>
      </c>
      <c r="B140" t="s">
        <v>29</v>
      </c>
      <c r="C140" t="s">
        <v>25</v>
      </c>
      <c r="D140" s="7">
        <v>45166</v>
      </c>
      <c r="E140" t="s">
        <v>47</v>
      </c>
      <c r="F140" s="8">
        <v>742571.46</v>
      </c>
      <c r="G140" t="s">
        <v>61</v>
      </c>
    </row>
    <row r="141" spans="1:7" x14ac:dyDescent="0.25">
      <c r="A141" t="s">
        <v>23</v>
      </c>
      <c r="B141" t="s">
        <v>24</v>
      </c>
      <c r="C141" t="s">
        <v>25</v>
      </c>
      <c r="D141" s="7">
        <v>45168</v>
      </c>
      <c r="E141" t="s">
        <v>70</v>
      </c>
      <c r="F141" s="8">
        <v>475333</v>
      </c>
      <c r="G141" t="s">
        <v>61</v>
      </c>
    </row>
    <row r="142" spans="1:7" x14ac:dyDescent="0.25">
      <c r="A142" t="s">
        <v>23</v>
      </c>
      <c r="B142" t="s">
        <v>24</v>
      </c>
      <c r="C142" t="s">
        <v>25</v>
      </c>
      <c r="D142" s="7">
        <v>45177</v>
      </c>
      <c r="E142" t="s">
        <v>64</v>
      </c>
      <c r="F142" s="8">
        <v>222812</v>
      </c>
      <c r="G142" t="s">
        <v>61</v>
      </c>
    </row>
    <row r="143" spans="1:7" x14ac:dyDescent="0.25">
      <c r="A143" t="s">
        <v>23</v>
      </c>
      <c r="B143" t="s">
        <v>24</v>
      </c>
      <c r="C143" t="s">
        <v>25</v>
      </c>
      <c r="D143" s="7">
        <v>45177</v>
      </c>
      <c r="E143" t="s">
        <v>43</v>
      </c>
      <c r="F143" s="8">
        <v>70714</v>
      </c>
      <c r="G143" t="s">
        <v>61</v>
      </c>
    </row>
    <row r="144" spans="1:7" x14ac:dyDescent="0.25">
      <c r="A144" t="s">
        <v>23</v>
      </c>
      <c r="B144" t="s">
        <v>24</v>
      </c>
      <c r="C144" t="s">
        <v>25</v>
      </c>
      <c r="D144" s="7">
        <v>45178</v>
      </c>
      <c r="E144" t="s">
        <v>39</v>
      </c>
      <c r="F144" s="8">
        <v>369864</v>
      </c>
      <c r="G144" t="s">
        <v>61</v>
      </c>
    </row>
    <row r="145" spans="1:7" x14ac:dyDescent="0.25">
      <c r="A145" t="s">
        <v>23</v>
      </c>
      <c r="B145" t="s">
        <v>24</v>
      </c>
      <c r="C145" t="s">
        <v>25</v>
      </c>
      <c r="D145" s="7">
        <v>45184</v>
      </c>
      <c r="E145" t="s">
        <v>43</v>
      </c>
      <c r="F145" s="8">
        <v>108575.5</v>
      </c>
      <c r="G145" t="s">
        <v>61</v>
      </c>
    </row>
    <row r="146" spans="1:7" x14ac:dyDescent="0.25">
      <c r="A146" t="s">
        <v>23</v>
      </c>
      <c r="B146" t="s">
        <v>24</v>
      </c>
      <c r="C146" t="s">
        <v>25</v>
      </c>
      <c r="D146" s="7">
        <v>45190</v>
      </c>
      <c r="E146" t="s">
        <v>83</v>
      </c>
      <c r="F146" s="8">
        <v>249524</v>
      </c>
      <c r="G146" t="s">
        <v>61</v>
      </c>
    </row>
    <row r="147" spans="1:7" x14ac:dyDescent="0.25">
      <c r="A147" t="s">
        <v>23</v>
      </c>
      <c r="B147" t="s">
        <v>24</v>
      </c>
      <c r="C147" t="s">
        <v>25</v>
      </c>
      <c r="D147" s="7">
        <v>45194</v>
      </c>
      <c r="E147" t="s">
        <v>39</v>
      </c>
      <c r="F147" s="8">
        <v>391432</v>
      </c>
      <c r="G147" t="s">
        <v>61</v>
      </c>
    </row>
    <row r="148" spans="1:7" x14ac:dyDescent="0.25">
      <c r="A148" t="s">
        <v>23</v>
      </c>
      <c r="B148" t="s">
        <v>24</v>
      </c>
      <c r="C148" t="s">
        <v>25</v>
      </c>
      <c r="D148" s="7">
        <v>45196</v>
      </c>
      <c r="E148" t="s">
        <v>64</v>
      </c>
      <c r="F148" s="8">
        <v>319902</v>
      </c>
      <c r="G148" t="s">
        <v>61</v>
      </c>
    </row>
    <row r="149" spans="1:7" x14ac:dyDescent="0.25">
      <c r="A149" t="s">
        <v>23</v>
      </c>
      <c r="B149" t="s">
        <v>24</v>
      </c>
      <c r="C149" t="s">
        <v>25</v>
      </c>
      <c r="D149" s="7">
        <v>45196</v>
      </c>
      <c r="E149" t="s">
        <v>55</v>
      </c>
      <c r="F149" s="8">
        <v>315720</v>
      </c>
      <c r="G149" t="s">
        <v>61</v>
      </c>
    </row>
    <row r="150" spans="1:7" x14ac:dyDescent="0.25">
      <c r="A150" t="s">
        <v>23</v>
      </c>
      <c r="B150" t="s">
        <v>29</v>
      </c>
      <c r="C150" t="s">
        <v>25</v>
      </c>
      <c r="D150" s="7">
        <v>45199</v>
      </c>
      <c r="E150" t="s">
        <v>38</v>
      </c>
      <c r="F150" s="8">
        <v>361905</v>
      </c>
      <c r="G150" t="s">
        <v>61</v>
      </c>
    </row>
    <row r="151" spans="1:7" x14ac:dyDescent="0.25">
      <c r="A151" t="s">
        <v>23</v>
      </c>
      <c r="B151" t="s">
        <v>24</v>
      </c>
      <c r="C151" t="s">
        <v>25</v>
      </c>
      <c r="D151" s="7">
        <v>45212</v>
      </c>
      <c r="E151" t="s">
        <v>84</v>
      </c>
      <c r="F151" s="8">
        <v>562857</v>
      </c>
      <c r="G151" t="s">
        <v>61</v>
      </c>
    </row>
    <row r="152" spans="1:7" x14ac:dyDescent="0.25">
      <c r="A152" t="s">
        <v>23</v>
      </c>
      <c r="B152" t="s">
        <v>24</v>
      </c>
      <c r="C152" t="s">
        <v>25</v>
      </c>
      <c r="D152" s="7">
        <v>45215</v>
      </c>
      <c r="E152" t="s">
        <v>81</v>
      </c>
      <c r="F152" s="8">
        <v>97620</v>
      </c>
      <c r="G152" t="s">
        <v>61</v>
      </c>
    </row>
    <row r="153" spans="1:7" x14ac:dyDescent="0.25">
      <c r="A153" t="s">
        <v>23</v>
      </c>
      <c r="B153" t="s">
        <v>24</v>
      </c>
      <c r="C153" t="s">
        <v>25</v>
      </c>
      <c r="D153" s="7">
        <v>45216</v>
      </c>
      <c r="E153" t="s">
        <v>39</v>
      </c>
      <c r="F153" s="8">
        <v>351048</v>
      </c>
      <c r="G153" t="s">
        <v>61</v>
      </c>
    </row>
    <row r="154" spans="1:7" x14ac:dyDescent="0.25">
      <c r="A154" t="s">
        <v>23</v>
      </c>
      <c r="B154" t="s">
        <v>24</v>
      </c>
      <c r="C154" t="s">
        <v>25</v>
      </c>
      <c r="D154" s="7">
        <v>45216</v>
      </c>
      <c r="E154" t="s">
        <v>64</v>
      </c>
      <c r="F154" s="8">
        <v>252550</v>
      </c>
      <c r="G154" t="s">
        <v>61</v>
      </c>
    </row>
    <row r="155" spans="1:7" x14ac:dyDescent="0.25">
      <c r="A155" t="s">
        <v>23</v>
      </c>
      <c r="B155" t="s">
        <v>24</v>
      </c>
      <c r="C155" t="s">
        <v>25</v>
      </c>
      <c r="D155" s="7">
        <v>45225</v>
      </c>
      <c r="E155" t="s">
        <v>81</v>
      </c>
      <c r="F155" s="8">
        <v>260940</v>
      </c>
      <c r="G155" t="s">
        <v>61</v>
      </c>
    </row>
    <row r="156" spans="1:7" x14ac:dyDescent="0.25">
      <c r="A156" t="s">
        <v>23</v>
      </c>
      <c r="B156" t="s">
        <v>29</v>
      </c>
      <c r="C156" t="s">
        <v>30</v>
      </c>
      <c r="D156" s="7">
        <v>45233</v>
      </c>
      <c r="E156" t="s">
        <v>49</v>
      </c>
      <c r="F156" s="8">
        <v>20860.96</v>
      </c>
      <c r="G156" t="s">
        <v>61</v>
      </c>
    </row>
    <row r="157" spans="1:7" x14ac:dyDescent="0.25">
      <c r="A157" t="s">
        <v>23</v>
      </c>
      <c r="B157" t="s">
        <v>24</v>
      </c>
      <c r="C157" t="s">
        <v>25</v>
      </c>
      <c r="D157" s="7">
        <v>45234</v>
      </c>
      <c r="E157" t="s">
        <v>83</v>
      </c>
      <c r="F157" s="8">
        <v>516857.5</v>
      </c>
      <c r="G157" t="s">
        <v>61</v>
      </c>
    </row>
    <row r="158" spans="1:7" x14ac:dyDescent="0.25">
      <c r="A158" t="s">
        <v>23</v>
      </c>
      <c r="B158" t="s">
        <v>24</v>
      </c>
      <c r="C158" t="s">
        <v>25</v>
      </c>
      <c r="D158" s="7">
        <v>45241</v>
      </c>
      <c r="E158" t="s">
        <v>55</v>
      </c>
      <c r="F158" s="8">
        <v>814281</v>
      </c>
      <c r="G158" t="s">
        <v>61</v>
      </c>
    </row>
    <row r="159" spans="1:7" x14ac:dyDescent="0.25">
      <c r="A159" t="s">
        <v>23</v>
      </c>
      <c r="B159" t="s">
        <v>24</v>
      </c>
      <c r="C159" t="s">
        <v>25</v>
      </c>
      <c r="D159" s="7">
        <v>45248</v>
      </c>
      <c r="E159" t="s">
        <v>70</v>
      </c>
      <c r="F159" s="8">
        <v>414858</v>
      </c>
      <c r="G159" t="s">
        <v>61</v>
      </c>
    </row>
    <row r="160" spans="1:7" x14ac:dyDescent="0.25">
      <c r="A160" t="s">
        <v>23</v>
      </c>
      <c r="B160" t="s">
        <v>24</v>
      </c>
      <c r="C160" t="s">
        <v>25</v>
      </c>
      <c r="D160" s="7">
        <v>45250</v>
      </c>
      <c r="E160" t="s">
        <v>59</v>
      </c>
      <c r="F160" s="8">
        <v>30000</v>
      </c>
      <c r="G160" t="s">
        <v>61</v>
      </c>
    </row>
    <row r="161" spans="1:7" x14ac:dyDescent="0.25">
      <c r="A161" t="s">
        <v>23</v>
      </c>
      <c r="B161" t="s">
        <v>24</v>
      </c>
      <c r="C161" t="s">
        <v>25</v>
      </c>
      <c r="D161" s="7">
        <v>45250</v>
      </c>
      <c r="E161" t="s">
        <v>85</v>
      </c>
      <c r="F161" s="8">
        <v>43238</v>
      </c>
      <c r="G161" t="s">
        <v>61</v>
      </c>
    </row>
    <row r="162" spans="1:7" x14ac:dyDescent="0.25">
      <c r="A162" t="s">
        <v>23</v>
      </c>
      <c r="B162" t="s">
        <v>24</v>
      </c>
      <c r="C162" t="s">
        <v>25</v>
      </c>
      <c r="D162" s="7">
        <v>45252</v>
      </c>
      <c r="E162" t="s">
        <v>78</v>
      </c>
      <c r="F162" s="8">
        <v>654758</v>
      </c>
      <c r="G162" t="s">
        <v>61</v>
      </c>
    </row>
    <row r="163" spans="1:7" x14ac:dyDescent="0.25">
      <c r="A163" t="s">
        <v>23</v>
      </c>
      <c r="B163" t="s">
        <v>24</v>
      </c>
      <c r="C163" t="s">
        <v>25</v>
      </c>
      <c r="D163" s="7">
        <v>45252</v>
      </c>
      <c r="E163" t="s">
        <v>64</v>
      </c>
      <c r="F163" s="8">
        <v>161160</v>
      </c>
      <c r="G163" t="s">
        <v>61</v>
      </c>
    </row>
    <row r="164" spans="1:7" x14ac:dyDescent="0.25">
      <c r="A164" t="s">
        <v>23</v>
      </c>
      <c r="B164" t="s">
        <v>24</v>
      </c>
      <c r="C164" t="s">
        <v>25</v>
      </c>
      <c r="D164" s="7">
        <v>45256</v>
      </c>
      <c r="E164" t="s">
        <v>81</v>
      </c>
      <c r="F164" s="8">
        <v>69523.5</v>
      </c>
      <c r="G164" t="s">
        <v>61</v>
      </c>
    </row>
    <row r="165" spans="1:7" x14ac:dyDescent="0.25">
      <c r="A165" t="s">
        <v>23</v>
      </c>
      <c r="B165" t="s">
        <v>24</v>
      </c>
      <c r="C165" t="s">
        <v>25</v>
      </c>
      <c r="D165" s="7">
        <v>45256</v>
      </c>
      <c r="E165" t="s">
        <v>85</v>
      </c>
      <c r="F165" s="8">
        <v>286180</v>
      </c>
      <c r="G165" t="s">
        <v>61</v>
      </c>
    </row>
    <row r="166" spans="1:7" x14ac:dyDescent="0.25">
      <c r="A166" t="s">
        <v>23</v>
      </c>
      <c r="B166" t="s">
        <v>29</v>
      </c>
      <c r="C166" t="s">
        <v>30</v>
      </c>
      <c r="D166" s="7">
        <v>45263</v>
      </c>
      <c r="E166" t="s">
        <v>49</v>
      </c>
      <c r="F166" s="8">
        <v>804761.9</v>
      </c>
      <c r="G166" t="s">
        <v>61</v>
      </c>
    </row>
    <row r="167" spans="1:7" x14ac:dyDescent="0.25">
      <c r="A167" t="s">
        <v>23</v>
      </c>
      <c r="B167" t="s">
        <v>24</v>
      </c>
      <c r="C167" t="s">
        <v>30</v>
      </c>
      <c r="D167" s="7">
        <v>45266</v>
      </c>
      <c r="E167" t="s">
        <v>80</v>
      </c>
      <c r="F167" s="8">
        <v>252000</v>
      </c>
      <c r="G167" t="s">
        <v>61</v>
      </c>
    </row>
    <row r="168" spans="1:7" x14ac:dyDescent="0.25">
      <c r="A168" t="s">
        <v>23</v>
      </c>
      <c r="B168" t="s">
        <v>29</v>
      </c>
      <c r="C168" t="s">
        <v>30</v>
      </c>
      <c r="D168" s="7">
        <v>45269</v>
      </c>
      <c r="E168" t="s">
        <v>38</v>
      </c>
      <c r="F168" s="8">
        <v>718095</v>
      </c>
      <c r="G168" t="s">
        <v>61</v>
      </c>
    </row>
    <row r="169" spans="1:7" x14ac:dyDescent="0.25">
      <c r="A169" t="s">
        <v>23</v>
      </c>
      <c r="B169" t="s">
        <v>29</v>
      </c>
      <c r="C169" t="s">
        <v>25</v>
      </c>
      <c r="D169" s="7">
        <v>45269</v>
      </c>
      <c r="E169" t="s">
        <v>71</v>
      </c>
      <c r="F169" s="8">
        <v>809523.81</v>
      </c>
      <c r="G169" t="s">
        <v>61</v>
      </c>
    </row>
    <row r="170" spans="1:7" x14ac:dyDescent="0.25">
      <c r="A170" t="s">
        <v>23</v>
      </c>
      <c r="B170" t="s">
        <v>24</v>
      </c>
      <c r="C170" t="s">
        <v>25</v>
      </c>
      <c r="D170" s="7">
        <v>45281</v>
      </c>
      <c r="E170" t="s">
        <v>70</v>
      </c>
      <c r="F170" s="8">
        <v>335715</v>
      </c>
      <c r="G170" t="s">
        <v>61</v>
      </c>
    </row>
    <row r="171" spans="1:7" x14ac:dyDescent="0.25">
      <c r="A171" t="s">
        <v>23</v>
      </c>
      <c r="B171" t="s">
        <v>29</v>
      </c>
      <c r="C171" t="s">
        <v>30</v>
      </c>
      <c r="D171" s="7">
        <v>45289</v>
      </c>
      <c r="E171" t="s">
        <v>86</v>
      </c>
      <c r="F171" s="8">
        <v>476190</v>
      </c>
      <c r="G171" t="s">
        <v>61</v>
      </c>
    </row>
    <row r="172" spans="1:7" x14ac:dyDescent="0.25">
      <c r="A172" t="s">
        <v>23</v>
      </c>
      <c r="B172" t="s">
        <v>24</v>
      </c>
      <c r="C172" t="s">
        <v>25</v>
      </c>
      <c r="D172" s="7">
        <v>45296</v>
      </c>
      <c r="E172" t="s">
        <v>39</v>
      </c>
      <c r="F172" s="8">
        <v>426933</v>
      </c>
      <c r="G172" t="s">
        <v>61</v>
      </c>
    </row>
    <row r="173" spans="1:7" x14ac:dyDescent="0.25">
      <c r="A173" t="s">
        <v>23</v>
      </c>
      <c r="B173" t="s">
        <v>29</v>
      </c>
      <c r="C173" t="s">
        <v>30</v>
      </c>
      <c r="D173" s="7">
        <v>45296</v>
      </c>
      <c r="E173" t="s">
        <v>87</v>
      </c>
      <c r="F173" s="8">
        <v>318200</v>
      </c>
      <c r="G173" t="s">
        <v>61</v>
      </c>
    </row>
    <row r="174" spans="1:7" x14ac:dyDescent="0.25">
      <c r="A174" t="s">
        <v>23</v>
      </c>
      <c r="B174" t="s">
        <v>29</v>
      </c>
      <c r="C174" t="s">
        <v>30</v>
      </c>
      <c r="D174" s="7">
        <v>45296</v>
      </c>
      <c r="E174" t="s">
        <v>46</v>
      </c>
      <c r="F174" s="8">
        <v>587373.41</v>
      </c>
      <c r="G174" t="s">
        <v>61</v>
      </c>
    </row>
    <row r="175" spans="1:7" x14ac:dyDescent="0.25">
      <c r="A175" t="s">
        <v>23</v>
      </c>
      <c r="B175" t="s">
        <v>29</v>
      </c>
      <c r="C175" t="s">
        <v>30</v>
      </c>
      <c r="D175" s="7">
        <v>45296</v>
      </c>
      <c r="E175" t="s">
        <v>46</v>
      </c>
      <c r="F175" s="8">
        <v>2788345</v>
      </c>
      <c r="G175" t="s">
        <v>61</v>
      </c>
    </row>
    <row r="176" spans="1:7" x14ac:dyDescent="0.25">
      <c r="A176" t="s">
        <v>23</v>
      </c>
      <c r="B176" t="s">
        <v>24</v>
      </c>
      <c r="C176" t="s">
        <v>25</v>
      </c>
      <c r="D176" s="7">
        <v>45300</v>
      </c>
      <c r="E176" t="s">
        <v>64</v>
      </c>
      <c r="F176" s="8">
        <v>300386.67</v>
      </c>
      <c r="G176" t="s">
        <v>61</v>
      </c>
    </row>
    <row r="177" spans="1:7" x14ac:dyDescent="0.25">
      <c r="A177" t="s">
        <v>23</v>
      </c>
      <c r="B177" t="s">
        <v>24</v>
      </c>
      <c r="C177" t="s">
        <v>25</v>
      </c>
      <c r="D177" s="7">
        <v>45302</v>
      </c>
      <c r="E177" t="s">
        <v>88</v>
      </c>
      <c r="F177" s="8">
        <v>108000.2</v>
      </c>
      <c r="G177" t="s">
        <v>61</v>
      </c>
    </row>
    <row r="178" spans="1:7" x14ac:dyDescent="0.25">
      <c r="A178" t="s">
        <v>23</v>
      </c>
      <c r="B178" t="s">
        <v>29</v>
      </c>
      <c r="C178" t="s">
        <v>25</v>
      </c>
      <c r="D178" s="7">
        <v>45302</v>
      </c>
      <c r="E178" t="s">
        <v>54</v>
      </c>
      <c r="F178" s="8">
        <v>60952.38</v>
      </c>
      <c r="G178" t="s">
        <v>61</v>
      </c>
    </row>
    <row r="179" spans="1:7" x14ac:dyDescent="0.25">
      <c r="A179" t="s">
        <v>23</v>
      </c>
      <c r="B179" t="s">
        <v>29</v>
      </c>
      <c r="C179" t="s">
        <v>25</v>
      </c>
      <c r="D179" s="7">
        <v>45302</v>
      </c>
      <c r="E179" t="s">
        <v>47</v>
      </c>
      <c r="F179" s="8">
        <v>816000</v>
      </c>
      <c r="G179" t="s">
        <v>61</v>
      </c>
    </row>
    <row r="180" spans="1:7" x14ac:dyDescent="0.25">
      <c r="A180" t="s">
        <v>23</v>
      </c>
      <c r="B180" t="s">
        <v>29</v>
      </c>
      <c r="C180" t="s">
        <v>30</v>
      </c>
      <c r="D180" s="7">
        <v>45311</v>
      </c>
      <c r="E180" t="s">
        <v>87</v>
      </c>
      <c r="F180" s="8">
        <v>349988</v>
      </c>
      <c r="G180" t="s">
        <v>61</v>
      </c>
    </row>
    <row r="181" spans="1:7" x14ac:dyDescent="0.25">
      <c r="A181" t="s">
        <v>23</v>
      </c>
      <c r="B181" t="s">
        <v>24</v>
      </c>
      <c r="C181" t="s">
        <v>25</v>
      </c>
      <c r="D181" s="7">
        <v>45316</v>
      </c>
      <c r="E181" t="s">
        <v>70</v>
      </c>
      <c r="F181" s="8">
        <v>524714</v>
      </c>
      <c r="G181" t="s">
        <v>61</v>
      </c>
    </row>
    <row r="182" spans="1:7" x14ac:dyDescent="0.25">
      <c r="A182" t="s">
        <v>23</v>
      </c>
      <c r="B182" t="s">
        <v>24</v>
      </c>
      <c r="C182" t="s">
        <v>25</v>
      </c>
      <c r="D182" s="7">
        <v>45316</v>
      </c>
      <c r="E182" t="s">
        <v>81</v>
      </c>
      <c r="F182" s="8">
        <v>108108</v>
      </c>
      <c r="G182" t="s">
        <v>61</v>
      </c>
    </row>
    <row r="183" spans="1:7" x14ac:dyDescent="0.25">
      <c r="A183" t="s">
        <v>23</v>
      </c>
      <c r="B183" t="s">
        <v>29</v>
      </c>
      <c r="C183" t="s">
        <v>25</v>
      </c>
      <c r="D183" s="7">
        <v>45317</v>
      </c>
      <c r="E183" t="s">
        <v>47</v>
      </c>
      <c r="F183" s="8">
        <v>334095.24</v>
      </c>
      <c r="G183" t="s">
        <v>61</v>
      </c>
    </row>
    <row r="184" spans="1:7" x14ac:dyDescent="0.25">
      <c r="A184" t="s">
        <v>23</v>
      </c>
      <c r="B184" t="s">
        <v>24</v>
      </c>
      <c r="C184" t="s">
        <v>25</v>
      </c>
      <c r="D184" s="7">
        <v>45320</v>
      </c>
      <c r="E184" t="s">
        <v>39</v>
      </c>
      <c r="F184" s="8">
        <v>305958</v>
      </c>
      <c r="G184" t="s">
        <v>61</v>
      </c>
    </row>
    <row r="185" spans="1:7" x14ac:dyDescent="0.25">
      <c r="A185" t="s">
        <v>23</v>
      </c>
      <c r="B185" t="s">
        <v>29</v>
      </c>
      <c r="C185" t="s">
        <v>30</v>
      </c>
      <c r="D185" s="7">
        <v>45320</v>
      </c>
      <c r="E185" t="s">
        <v>89</v>
      </c>
      <c r="F185" s="8">
        <v>2427575.5</v>
      </c>
      <c r="G185" t="s">
        <v>61</v>
      </c>
    </row>
    <row r="186" spans="1:7" x14ac:dyDescent="0.25">
      <c r="A186" t="s">
        <v>23</v>
      </c>
      <c r="B186" t="s">
        <v>24</v>
      </c>
      <c r="C186" t="s">
        <v>25</v>
      </c>
      <c r="D186" s="7">
        <v>45321</v>
      </c>
      <c r="E186" t="s">
        <v>88</v>
      </c>
      <c r="F186" s="8">
        <v>119524</v>
      </c>
      <c r="G186" t="s">
        <v>61</v>
      </c>
    </row>
    <row r="187" spans="1:7" x14ac:dyDescent="0.25">
      <c r="A187" t="s">
        <v>23</v>
      </c>
      <c r="B187" t="s">
        <v>24</v>
      </c>
      <c r="C187" t="s">
        <v>25</v>
      </c>
      <c r="D187" s="7">
        <v>45321</v>
      </c>
      <c r="E187" t="s">
        <v>90</v>
      </c>
      <c r="F187" s="8">
        <v>1426100</v>
      </c>
      <c r="G187" t="s">
        <v>61</v>
      </c>
    </row>
    <row r="188" spans="1:7" x14ac:dyDescent="0.25">
      <c r="A188" t="s">
        <v>23</v>
      </c>
      <c r="B188" t="s">
        <v>29</v>
      </c>
      <c r="C188" t="s">
        <v>30</v>
      </c>
      <c r="D188" s="7">
        <v>45321</v>
      </c>
      <c r="E188" t="s">
        <v>89</v>
      </c>
      <c r="F188" s="8">
        <v>2661952.7999999998</v>
      </c>
      <c r="G188" t="s">
        <v>61</v>
      </c>
    </row>
    <row r="189" spans="1:7" x14ac:dyDescent="0.25">
      <c r="A189" t="s">
        <v>23</v>
      </c>
      <c r="B189" t="s">
        <v>29</v>
      </c>
      <c r="C189" t="s">
        <v>30</v>
      </c>
      <c r="D189" s="7">
        <v>45321</v>
      </c>
      <c r="E189" t="s">
        <v>87</v>
      </c>
      <c r="F189" s="8">
        <v>224000</v>
      </c>
      <c r="G189" t="s">
        <v>61</v>
      </c>
    </row>
    <row r="190" spans="1:7" x14ac:dyDescent="0.25">
      <c r="A190" t="s">
        <v>23</v>
      </c>
      <c r="B190" t="s">
        <v>24</v>
      </c>
      <c r="C190" t="s">
        <v>30</v>
      </c>
      <c r="D190" s="7">
        <v>45322</v>
      </c>
      <c r="E190" t="s">
        <v>38</v>
      </c>
      <c r="F190" s="8">
        <v>2275520</v>
      </c>
      <c r="G190" t="s">
        <v>61</v>
      </c>
    </row>
    <row r="191" spans="1:7" x14ac:dyDescent="0.25">
      <c r="A191" t="s">
        <v>23</v>
      </c>
      <c r="B191" t="s">
        <v>24</v>
      </c>
      <c r="C191" t="s">
        <v>25</v>
      </c>
      <c r="D191" s="7">
        <v>45323</v>
      </c>
      <c r="E191" t="s">
        <v>64</v>
      </c>
      <c r="F191" s="8">
        <v>77142</v>
      </c>
      <c r="G191" t="s">
        <v>61</v>
      </c>
    </row>
    <row r="192" spans="1:7" x14ac:dyDescent="0.25">
      <c r="A192" t="s">
        <v>23</v>
      </c>
      <c r="B192" t="s">
        <v>24</v>
      </c>
      <c r="C192" t="s">
        <v>25</v>
      </c>
      <c r="D192" s="7">
        <v>45327</v>
      </c>
      <c r="E192" t="s">
        <v>83</v>
      </c>
      <c r="F192" s="8">
        <v>108286.3</v>
      </c>
      <c r="G192" t="s">
        <v>61</v>
      </c>
    </row>
    <row r="193" spans="1:7" x14ac:dyDescent="0.25">
      <c r="A193" t="s">
        <v>23</v>
      </c>
      <c r="B193" t="s">
        <v>24</v>
      </c>
      <c r="C193" t="s">
        <v>30</v>
      </c>
      <c r="D193" s="7">
        <v>45328</v>
      </c>
      <c r="E193" t="s">
        <v>80</v>
      </c>
      <c r="F193" s="8">
        <v>936000</v>
      </c>
      <c r="G193" t="s">
        <v>61</v>
      </c>
    </row>
    <row r="194" spans="1:7" x14ac:dyDescent="0.25">
      <c r="A194" t="s">
        <v>23</v>
      </c>
      <c r="B194" t="s">
        <v>29</v>
      </c>
      <c r="C194" t="s">
        <v>25</v>
      </c>
      <c r="D194" s="7">
        <v>45331</v>
      </c>
      <c r="E194" t="s">
        <v>54</v>
      </c>
      <c r="F194" s="8">
        <v>630476.18999999994</v>
      </c>
      <c r="G194" t="s">
        <v>61</v>
      </c>
    </row>
    <row r="195" spans="1:7" x14ac:dyDescent="0.25">
      <c r="A195" t="s">
        <v>23</v>
      </c>
      <c r="B195" t="s">
        <v>24</v>
      </c>
      <c r="C195" t="s">
        <v>25</v>
      </c>
      <c r="D195" s="7">
        <v>45334</v>
      </c>
      <c r="E195" t="s">
        <v>64</v>
      </c>
      <c r="F195" s="8">
        <v>295120</v>
      </c>
      <c r="G195" t="s">
        <v>61</v>
      </c>
    </row>
    <row r="196" spans="1:7" x14ac:dyDescent="0.25">
      <c r="A196" t="s">
        <v>23</v>
      </c>
      <c r="B196" t="s">
        <v>24</v>
      </c>
      <c r="C196" t="s">
        <v>25</v>
      </c>
      <c r="D196" s="7">
        <v>45334</v>
      </c>
      <c r="E196" t="s">
        <v>88</v>
      </c>
      <c r="F196" s="8">
        <v>362477</v>
      </c>
      <c r="G196" t="s">
        <v>61</v>
      </c>
    </row>
    <row r="197" spans="1:7" x14ac:dyDescent="0.25">
      <c r="A197" t="s">
        <v>23</v>
      </c>
      <c r="B197" t="s">
        <v>24</v>
      </c>
      <c r="C197" t="s">
        <v>25</v>
      </c>
      <c r="D197" s="7">
        <v>45335</v>
      </c>
      <c r="E197" t="s">
        <v>70</v>
      </c>
      <c r="F197" s="8">
        <v>271428.5</v>
      </c>
      <c r="G197" t="s">
        <v>61</v>
      </c>
    </row>
    <row r="198" spans="1:7" x14ac:dyDescent="0.25">
      <c r="A198" t="s">
        <v>23</v>
      </c>
      <c r="B198" t="s">
        <v>24</v>
      </c>
      <c r="C198" t="s">
        <v>25</v>
      </c>
      <c r="D198" s="7">
        <v>45337</v>
      </c>
      <c r="E198" t="s">
        <v>70</v>
      </c>
      <c r="F198" s="8">
        <v>334286</v>
      </c>
      <c r="G198" t="s">
        <v>61</v>
      </c>
    </row>
    <row r="199" spans="1:7" x14ac:dyDescent="0.25">
      <c r="A199" t="s">
        <v>23</v>
      </c>
      <c r="B199" t="s">
        <v>29</v>
      </c>
      <c r="C199" t="s">
        <v>25</v>
      </c>
      <c r="D199" s="7">
        <v>45338</v>
      </c>
      <c r="E199" t="s">
        <v>74</v>
      </c>
      <c r="F199" s="8">
        <v>1389999.78</v>
      </c>
      <c r="G199" t="s">
        <v>61</v>
      </c>
    </row>
    <row r="200" spans="1:7" x14ac:dyDescent="0.25">
      <c r="A200" t="s">
        <v>23</v>
      </c>
      <c r="B200" t="s">
        <v>24</v>
      </c>
      <c r="C200" t="s">
        <v>25</v>
      </c>
      <c r="D200" s="7">
        <v>45343</v>
      </c>
      <c r="E200" t="s">
        <v>88</v>
      </c>
      <c r="F200" s="8">
        <v>190480</v>
      </c>
      <c r="G200" t="s">
        <v>61</v>
      </c>
    </row>
    <row r="201" spans="1:7" x14ac:dyDescent="0.25">
      <c r="A201" t="s">
        <v>23</v>
      </c>
      <c r="B201" t="s">
        <v>24</v>
      </c>
      <c r="C201" t="s">
        <v>25</v>
      </c>
      <c r="D201" s="7">
        <v>45344</v>
      </c>
      <c r="E201" t="s">
        <v>70</v>
      </c>
      <c r="F201" s="8">
        <v>831000</v>
      </c>
      <c r="G201" t="s">
        <v>61</v>
      </c>
    </row>
    <row r="202" spans="1:7" x14ac:dyDescent="0.25">
      <c r="A202" t="s">
        <v>23</v>
      </c>
      <c r="B202" t="s">
        <v>24</v>
      </c>
      <c r="C202" t="s">
        <v>30</v>
      </c>
      <c r="D202" s="7">
        <v>45351</v>
      </c>
      <c r="E202" t="s">
        <v>74</v>
      </c>
      <c r="F202" s="8">
        <v>1523500</v>
      </c>
      <c r="G202" t="s">
        <v>61</v>
      </c>
    </row>
    <row r="203" spans="1:7" x14ac:dyDescent="0.25">
      <c r="A203" t="s">
        <v>23</v>
      </c>
      <c r="B203" t="s">
        <v>24</v>
      </c>
      <c r="C203" t="s">
        <v>30</v>
      </c>
      <c r="D203" s="7">
        <v>45351</v>
      </c>
      <c r="E203" t="s">
        <v>72</v>
      </c>
      <c r="F203" s="8">
        <v>205500</v>
      </c>
      <c r="G203" t="s">
        <v>61</v>
      </c>
    </row>
    <row r="204" spans="1:7" x14ac:dyDescent="0.25">
      <c r="A204" t="s">
        <v>23</v>
      </c>
      <c r="B204" t="s">
        <v>24</v>
      </c>
      <c r="C204" t="s">
        <v>30</v>
      </c>
      <c r="D204" s="7">
        <v>45351</v>
      </c>
      <c r="E204" t="s">
        <v>38</v>
      </c>
      <c r="F204" s="8">
        <v>1580950</v>
      </c>
      <c r="G204" t="s">
        <v>61</v>
      </c>
    </row>
    <row r="205" spans="1:7" x14ac:dyDescent="0.25">
      <c r="A205" t="s">
        <v>23</v>
      </c>
      <c r="B205" t="s">
        <v>24</v>
      </c>
      <c r="C205" t="s">
        <v>30</v>
      </c>
      <c r="D205" s="7">
        <v>45351</v>
      </c>
      <c r="E205" t="s">
        <v>41</v>
      </c>
      <c r="F205" s="8">
        <v>1092000</v>
      </c>
      <c r="G205" t="s">
        <v>61</v>
      </c>
    </row>
    <row r="206" spans="1:7" x14ac:dyDescent="0.25">
      <c r="A206" t="s">
        <v>23</v>
      </c>
      <c r="B206" t="s">
        <v>29</v>
      </c>
      <c r="C206" t="s">
        <v>25</v>
      </c>
      <c r="D206" s="7">
        <v>45351</v>
      </c>
      <c r="E206" t="s">
        <v>91</v>
      </c>
      <c r="F206" s="8">
        <v>489300</v>
      </c>
      <c r="G206" t="s">
        <v>61</v>
      </c>
    </row>
    <row r="207" spans="1:7" x14ac:dyDescent="0.25">
      <c r="A207" t="s">
        <v>23</v>
      </c>
      <c r="B207" t="s">
        <v>29</v>
      </c>
      <c r="C207" t="s">
        <v>25</v>
      </c>
      <c r="D207" s="7">
        <v>45356</v>
      </c>
      <c r="E207" t="s">
        <v>74</v>
      </c>
      <c r="F207" s="8">
        <v>229744</v>
      </c>
      <c r="G207" t="s">
        <v>61</v>
      </c>
    </row>
    <row r="208" spans="1:7" x14ac:dyDescent="0.25">
      <c r="A208" t="s">
        <v>23</v>
      </c>
      <c r="B208" t="s">
        <v>24</v>
      </c>
      <c r="C208" t="s">
        <v>25</v>
      </c>
      <c r="D208" s="7">
        <v>45360</v>
      </c>
      <c r="E208" t="s">
        <v>43</v>
      </c>
      <c r="F208" s="8">
        <v>20952.45</v>
      </c>
      <c r="G208" t="s">
        <v>61</v>
      </c>
    </row>
    <row r="209" spans="1:7" x14ac:dyDescent="0.25">
      <c r="A209" t="s">
        <v>23</v>
      </c>
      <c r="B209" t="s">
        <v>29</v>
      </c>
      <c r="C209" t="s">
        <v>30</v>
      </c>
      <c r="D209" s="7">
        <v>45377</v>
      </c>
      <c r="E209" t="s">
        <v>74</v>
      </c>
      <c r="F209" s="8">
        <v>678096</v>
      </c>
      <c r="G209" t="s">
        <v>61</v>
      </c>
    </row>
    <row r="210" spans="1:7" x14ac:dyDescent="0.25">
      <c r="A210" t="s">
        <v>23</v>
      </c>
      <c r="B210" t="s">
        <v>24</v>
      </c>
      <c r="C210" t="s">
        <v>25</v>
      </c>
      <c r="D210" s="7">
        <v>45379</v>
      </c>
      <c r="E210" t="s">
        <v>92</v>
      </c>
      <c r="F210" s="8">
        <v>22857.14</v>
      </c>
      <c r="G210" t="s">
        <v>61</v>
      </c>
    </row>
    <row r="211" spans="1:7" x14ac:dyDescent="0.25">
      <c r="A211" t="s">
        <v>23</v>
      </c>
      <c r="B211" t="s">
        <v>29</v>
      </c>
      <c r="C211" t="s">
        <v>30</v>
      </c>
      <c r="D211" s="7">
        <v>45381</v>
      </c>
      <c r="E211" t="s">
        <v>93</v>
      </c>
      <c r="F211" s="8">
        <v>323809.52</v>
      </c>
      <c r="G211" t="s">
        <v>61</v>
      </c>
    </row>
    <row r="212" spans="1:7" x14ac:dyDescent="0.25">
      <c r="A212" t="s">
        <v>23</v>
      </c>
      <c r="B212" t="s">
        <v>24</v>
      </c>
      <c r="C212" t="s">
        <v>25</v>
      </c>
      <c r="D212" s="7">
        <v>45386</v>
      </c>
      <c r="E212" t="s">
        <v>64</v>
      </c>
      <c r="F212" s="8">
        <v>138765</v>
      </c>
      <c r="G212" t="s">
        <v>94</v>
      </c>
    </row>
    <row r="213" spans="1:7" x14ac:dyDescent="0.25">
      <c r="A213" t="s">
        <v>23</v>
      </c>
      <c r="B213" t="s">
        <v>24</v>
      </c>
      <c r="C213" t="s">
        <v>25</v>
      </c>
      <c r="D213" s="7">
        <v>45386</v>
      </c>
      <c r="E213" t="s">
        <v>70</v>
      </c>
      <c r="F213" s="8">
        <v>239719</v>
      </c>
      <c r="G213" t="s">
        <v>94</v>
      </c>
    </row>
    <row r="214" spans="1:7" x14ac:dyDescent="0.25">
      <c r="A214" t="s">
        <v>23</v>
      </c>
      <c r="B214" t="s">
        <v>24</v>
      </c>
      <c r="C214" t="s">
        <v>25</v>
      </c>
      <c r="D214" s="7">
        <v>45397</v>
      </c>
      <c r="E214" t="s">
        <v>64</v>
      </c>
      <c r="F214" s="8">
        <v>310762</v>
      </c>
      <c r="G214" t="s">
        <v>94</v>
      </c>
    </row>
    <row r="215" spans="1:7" x14ac:dyDescent="0.25">
      <c r="A215" t="s">
        <v>23</v>
      </c>
      <c r="B215" t="s">
        <v>29</v>
      </c>
      <c r="C215" t="s">
        <v>30</v>
      </c>
      <c r="D215" s="7">
        <v>45406</v>
      </c>
      <c r="E215" t="s">
        <v>95</v>
      </c>
      <c r="F215" s="8">
        <v>500000</v>
      </c>
      <c r="G215" t="s">
        <v>94</v>
      </c>
    </row>
    <row r="216" spans="1:7" x14ac:dyDescent="0.25">
      <c r="A216" t="s">
        <v>23</v>
      </c>
      <c r="B216" t="s">
        <v>29</v>
      </c>
      <c r="C216" t="s">
        <v>30</v>
      </c>
      <c r="D216" s="7">
        <v>45406</v>
      </c>
      <c r="E216" t="s">
        <v>95</v>
      </c>
      <c r="F216" s="8">
        <v>411500</v>
      </c>
      <c r="G216" t="s">
        <v>94</v>
      </c>
    </row>
    <row r="217" spans="1:7" x14ac:dyDescent="0.25">
      <c r="A217" t="s">
        <v>23</v>
      </c>
      <c r="B217" t="s">
        <v>29</v>
      </c>
      <c r="C217" t="s">
        <v>30</v>
      </c>
      <c r="D217" s="7">
        <v>45407</v>
      </c>
      <c r="E217" t="s">
        <v>95</v>
      </c>
      <c r="F217" s="8">
        <v>2500000</v>
      </c>
      <c r="G217" t="s">
        <v>94</v>
      </c>
    </row>
    <row r="218" spans="1:7" x14ac:dyDescent="0.25">
      <c r="A218" t="s">
        <v>23</v>
      </c>
      <c r="B218" t="s">
        <v>29</v>
      </c>
      <c r="C218" t="s">
        <v>30</v>
      </c>
      <c r="D218" s="7">
        <v>45407</v>
      </c>
      <c r="E218" t="s">
        <v>95</v>
      </c>
      <c r="F218" s="8">
        <v>97300</v>
      </c>
      <c r="G218" t="s">
        <v>94</v>
      </c>
    </row>
    <row r="219" spans="1:7" x14ac:dyDescent="0.25">
      <c r="A219" t="s">
        <v>23</v>
      </c>
      <c r="B219" t="s">
        <v>24</v>
      </c>
      <c r="C219" t="s">
        <v>25</v>
      </c>
      <c r="D219" s="7">
        <v>45411</v>
      </c>
      <c r="E219" t="s">
        <v>96</v>
      </c>
      <c r="F219" s="8">
        <v>330266.7</v>
      </c>
      <c r="G219" t="s">
        <v>94</v>
      </c>
    </row>
    <row r="220" spans="1:7" x14ac:dyDescent="0.25">
      <c r="A220" t="s">
        <v>23</v>
      </c>
      <c r="B220" t="s">
        <v>24</v>
      </c>
      <c r="C220" t="s">
        <v>25</v>
      </c>
      <c r="D220" s="7">
        <v>45416</v>
      </c>
      <c r="E220" t="s">
        <v>64</v>
      </c>
      <c r="F220" s="8">
        <v>100477.14</v>
      </c>
      <c r="G220" t="s">
        <v>94</v>
      </c>
    </row>
    <row r="221" spans="1:7" x14ac:dyDescent="0.25">
      <c r="A221" t="s">
        <v>23</v>
      </c>
      <c r="B221" t="s">
        <v>24</v>
      </c>
      <c r="C221" t="s">
        <v>25</v>
      </c>
      <c r="D221" s="7">
        <v>45420</v>
      </c>
      <c r="E221" t="s">
        <v>55</v>
      </c>
      <c r="F221" s="8">
        <v>626190.5</v>
      </c>
      <c r="G221" t="s">
        <v>94</v>
      </c>
    </row>
    <row r="222" spans="1:7" x14ac:dyDescent="0.25">
      <c r="A222" t="s">
        <v>23</v>
      </c>
      <c r="B222" t="s">
        <v>24</v>
      </c>
      <c r="C222" t="s">
        <v>25</v>
      </c>
      <c r="D222" s="7">
        <v>45427</v>
      </c>
      <c r="E222" t="s">
        <v>39</v>
      </c>
      <c r="F222" s="8">
        <v>89136</v>
      </c>
      <c r="G222" t="s">
        <v>94</v>
      </c>
    </row>
    <row r="223" spans="1:7" x14ac:dyDescent="0.25">
      <c r="A223" t="s">
        <v>23</v>
      </c>
      <c r="B223" t="s">
        <v>24</v>
      </c>
      <c r="C223" t="s">
        <v>25</v>
      </c>
      <c r="D223" s="7">
        <v>45435</v>
      </c>
      <c r="E223" t="s">
        <v>39</v>
      </c>
      <c r="F223" s="8">
        <v>155995</v>
      </c>
      <c r="G223" t="s">
        <v>94</v>
      </c>
    </row>
    <row r="224" spans="1:7" x14ac:dyDescent="0.25">
      <c r="A224" t="s">
        <v>23</v>
      </c>
      <c r="B224" t="s">
        <v>29</v>
      </c>
      <c r="C224" t="s">
        <v>30</v>
      </c>
      <c r="D224" s="7">
        <v>45443</v>
      </c>
      <c r="E224" t="s">
        <v>74</v>
      </c>
      <c r="F224" s="8">
        <v>2644762.64</v>
      </c>
      <c r="G224" t="s">
        <v>94</v>
      </c>
    </row>
    <row r="225" spans="1:7" x14ac:dyDescent="0.25">
      <c r="A225" t="s">
        <v>23</v>
      </c>
      <c r="B225" t="s">
        <v>24</v>
      </c>
      <c r="C225" t="s">
        <v>25</v>
      </c>
      <c r="D225" s="7">
        <v>45456</v>
      </c>
      <c r="E225" t="s">
        <v>60</v>
      </c>
      <c r="F225" s="8">
        <v>920183</v>
      </c>
      <c r="G225" t="s">
        <v>94</v>
      </c>
    </row>
    <row r="226" spans="1:7" x14ac:dyDescent="0.25">
      <c r="A226" t="s">
        <v>23</v>
      </c>
      <c r="B226" t="s">
        <v>24</v>
      </c>
      <c r="C226" t="s">
        <v>30</v>
      </c>
      <c r="D226" s="7">
        <v>45460</v>
      </c>
      <c r="E226" t="s">
        <v>74</v>
      </c>
      <c r="F226" s="8">
        <v>2142857</v>
      </c>
      <c r="G226" t="s">
        <v>94</v>
      </c>
    </row>
    <row r="227" spans="1:7" x14ac:dyDescent="0.25">
      <c r="A227" t="s">
        <v>23</v>
      </c>
      <c r="B227" t="s">
        <v>24</v>
      </c>
      <c r="C227" t="s">
        <v>30</v>
      </c>
      <c r="D227" s="7">
        <v>45460</v>
      </c>
      <c r="E227" t="s">
        <v>41</v>
      </c>
      <c r="F227" s="8">
        <v>423809.65</v>
      </c>
      <c r="G227" t="s">
        <v>94</v>
      </c>
    </row>
    <row r="228" spans="1:7" x14ac:dyDescent="0.25">
      <c r="A228" t="s">
        <v>23</v>
      </c>
      <c r="B228" t="s">
        <v>24</v>
      </c>
      <c r="C228" t="s">
        <v>30</v>
      </c>
      <c r="D228" s="7">
        <v>45460</v>
      </c>
      <c r="E228" t="s">
        <v>72</v>
      </c>
      <c r="F228" s="8">
        <v>238095.5</v>
      </c>
      <c r="G228" t="s">
        <v>94</v>
      </c>
    </row>
    <row r="229" spans="1:7" x14ac:dyDescent="0.25">
      <c r="A229" t="s">
        <v>23</v>
      </c>
      <c r="B229" t="s">
        <v>24</v>
      </c>
      <c r="C229" t="s">
        <v>25</v>
      </c>
      <c r="D229" s="7">
        <v>45460</v>
      </c>
      <c r="E229" t="s">
        <v>64</v>
      </c>
      <c r="F229" s="8">
        <v>140473</v>
      </c>
      <c r="G229" t="s">
        <v>94</v>
      </c>
    </row>
    <row r="230" spans="1:7" x14ac:dyDescent="0.25">
      <c r="A230" t="s">
        <v>23</v>
      </c>
      <c r="B230" t="s">
        <v>29</v>
      </c>
      <c r="C230" t="s">
        <v>30</v>
      </c>
      <c r="D230" s="7">
        <v>45472</v>
      </c>
      <c r="E230" t="s">
        <v>38</v>
      </c>
      <c r="F230" s="8">
        <v>500000</v>
      </c>
      <c r="G230" t="s">
        <v>94</v>
      </c>
    </row>
    <row r="231" spans="1:7" x14ac:dyDescent="0.25">
      <c r="A231" t="s">
        <v>23</v>
      </c>
      <c r="B231" t="s">
        <v>24</v>
      </c>
      <c r="C231" t="s">
        <v>25</v>
      </c>
      <c r="D231" s="7">
        <v>45474</v>
      </c>
      <c r="E231" t="s">
        <v>64</v>
      </c>
      <c r="F231" s="8">
        <v>142381</v>
      </c>
      <c r="G231" t="s">
        <v>94</v>
      </c>
    </row>
    <row r="232" spans="1:7" x14ac:dyDescent="0.25">
      <c r="A232" t="s">
        <v>23</v>
      </c>
      <c r="B232" t="s">
        <v>24</v>
      </c>
      <c r="C232" t="s">
        <v>25</v>
      </c>
      <c r="D232" s="7">
        <v>45485</v>
      </c>
      <c r="E232" t="s">
        <v>97</v>
      </c>
      <c r="F232" s="8">
        <v>116143.1</v>
      </c>
      <c r="G232" t="s">
        <v>94</v>
      </c>
    </row>
    <row r="233" spans="1:7" x14ac:dyDescent="0.25">
      <c r="A233" t="s">
        <v>23</v>
      </c>
      <c r="B233" t="s">
        <v>29</v>
      </c>
      <c r="C233" t="s">
        <v>30</v>
      </c>
      <c r="D233" s="7">
        <v>45492</v>
      </c>
      <c r="E233" t="s">
        <v>47</v>
      </c>
      <c r="F233" s="8">
        <v>285714.28999999998</v>
      </c>
      <c r="G233" t="s">
        <v>94</v>
      </c>
    </row>
    <row r="234" spans="1:7" x14ac:dyDescent="0.25">
      <c r="A234" t="s">
        <v>23</v>
      </c>
      <c r="B234" t="s">
        <v>29</v>
      </c>
      <c r="C234" t="s">
        <v>25</v>
      </c>
      <c r="D234" s="7">
        <v>45495</v>
      </c>
      <c r="E234" t="s">
        <v>91</v>
      </c>
      <c r="F234" s="8">
        <v>102285.72</v>
      </c>
      <c r="G234" t="s">
        <v>94</v>
      </c>
    </row>
    <row r="235" spans="1:7" x14ac:dyDescent="0.25">
      <c r="A235" t="s">
        <v>23</v>
      </c>
      <c r="B235" t="s">
        <v>24</v>
      </c>
      <c r="C235" t="s">
        <v>25</v>
      </c>
      <c r="D235" s="7">
        <v>45496</v>
      </c>
      <c r="E235" t="s">
        <v>64</v>
      </c>
      <c r="F235" s="8">
        <v>137140</v>
      </c>
      <c r="G235" t="s">
        <v>94</v>
      </c>
    </row>
    <row r="236" spans="1:7" x14ac:dyDescent="0.25">
      <c r="A236" t="s">
        <v>23</v>
      </c>
      <c r="B236" t="s">
        <v>29</v>
      </c>
      <c r="C236" t="s">
        <v>30</v>
      </c>
      <c r="D236" s="7">
        <v>45497</v>
      </c>
      <c r="E236" t="s">
        <v>38</v>
      </c>
      <c r="F236" s="8">
        <v>2455518</v>
      </c>
      <c r="G236" t="s">
        <v>94</v>
      </c>
    </row>
    <row r="237" spans="1:7" x14ac:dyDescent="0.25">
      <c r="A237" t="s">
        <v>23</v>
      </c>
      <c r="B237" t="s">
        <v>29</v>
      </c>
      <c r="C237" t="s">
        <v>30</v>
      </c>
      <c r="D237" s="7">
        <v>45497</v>
      </c>
      <c r="E237" t="s">
        <v>66</v>
      </c>
      <c r="F237" s="8">
        <v>1661905</v>
      </c>
      <c r="G237" t="s">
        <v>94</v>
      </c>
    </row>
    <row r="238" spans="1:7" x14ac:dyDescent="0.25">
      <c r="A238" t="s">
        <v>23</v>
      </c>
      <c r="B238" t="s">
        <v>24</v>
      </c>
      <c r="C238" t="s">
        <v>25</v>
      </c>
      <c r="D238" s="7">
        <v>45505</v>
      </c>
      <c r="E238" t="s">
        <v>64</v>
      </c>
      <c r="F238" s="8">
        <v>178095.23</v>
      </c>
      <c r="G238" t="s">
        <v>94</v>
      </c>
    </row>
    <row r="239" spans="1:7" x14ac:dyDescent="0.25">
      <c r="A239" t="s">
        <v>23</v>
      </c>
      <c r="B239" t="s">
        <v>24</v>
      </c>
      <c r="C239" t="s">
        <v>25</v>
      </c>
      <c r="D239" s="7">
        <v>45517</v>
      </c>
      <c r="E239" t="s">
        <v>64</v>
      </c>
      <c r="F239" s="8">
        <v>198095.1</v>
      </c>
      <c r="G239" t="s">
        <v>94</v>
      </c>
    </row>
    <row r="240" spans="1:7" x14ac:dyDescent="0.25">
      <c r="A240" t="s">
        <v>23</v>
      </c>
      <c r="B240" t="s">
        <v>24</v>
      </c>
      <c r="C240" t="s">
        <v>25</v>
      </c>
      <c r="D240" s="7">
        <v>45528</v>
      </c>
      <c r="E240" t="s">
        <v>88</v>
      </c>
      <c r="F240" s="8">
        <v>295017</v>
      </c>
      <c r="G240" t="s">
        <v>94</v>
      </c>
    </row>
    <row r="241" spans="1:7" x14ac:dyDescent="0.25">
      <c r="A241" t="s">
        <v>23</v>
      </c>
      <c r="B241" t="s">
        <v>24</v>
      </c>
      <c r="C241" t="s">
        <v>25</v>
      </c>
      <c r="D241" s="7">
        <v>45535</v>
      </c>
      <c r="E241" t="s">
        <v>64</v>
      </c>
      <c r="F241" s="8">
        <v>316300</v>
      </c>
      <c r="G241" t="s">
        <v>94</v>
      </c>
    </row>
    <row r="242" spans="1:7" x14ac:dyDescent="0.25">
      <c r="A242" t="s">
        <v>23</v>
      </c>
      <c r="B242" t="s">
        <v>24</v>
      </c>
      <c r="C242" t="s">
        <v>25</v>
      </c>
      <c r="D242" s="7">
        <v>45538</v>
      </c>
      <c r="E242" t="s">
        <v>78</v>
      </c>
      <c r="F242" s="8">
        <v>1205205</v>
      </c>
      <c r="G242" t="s">
        <v>94</v>
      </c>
    </row>
    <row r="243" spans="1:7" x14ac:dyDescent="0.25">
      <c r="A243" t="s">
        <v>23</v>
      </c>
      <c r="B243" t="s">
        <v>24</v>
      </c>
      <c r="C243" t="s">
        <v>25</v>
      </c>
      <c r="D243" s="7">
        <v>45538</v>
      </c>
      <c r="E243" t="s">
        <v>98</v>
      </c>
      <c r="F243" s="8">
        <v>798600</v>
      </c>
      <c r="G243" t="s">
        <v>94</v>
      </c>
    </row>
    <row r="244" spans="1:7" x14ac:dyDescent="0.25">
      <c r="A244" t="s">
        <v>23</v>
      </c>
      <c r="B244" t="s">
        <v>24</v>
      </c>
      <c r="C244" t="s">
        <v>25</v>
      </c>
      <c r="D244" s="7">
        <v>45540</v>
      </c>
      <c r="E244" t="s">
        <v>99</v>
      </c>
      <c r="F244" s="8">
        <v>959238.8</v>
      </c>
      <c r="G244" t="s">
        <v>94</v>
      </c>
    </row>
    <row r="245" spans="1:7" x14ac:dyDescent="0.25">
      <c r="A245" t="s">
        <v>23</v>
      </c>
      <c r="B245" t="s">
        <v>29</v>
      </c>
      <c r="C245" t="s">
        <v>30</v>
      </c>
      <c r="D245" s="7">
        <v>45548</v>
      </c>
      <c r="E245" t="s">
        <v>41</v>
      </c>
      <c r="F245" s="8">
        <v>742857.14</v>
      </c>
      <c r="G245" t="s">
        <v>94</v>
      </c>
    </row>
    <row r="246" spans="1:7" x14ac:dyDescent="0.25">
      <c r="A246" t="s">
        <v>23</v>
      </c>
      <c r="B246" t="s">
        <v>24</v>
      </c>
      <c r="C246" t="s">
        <v>25</v>
      </c>
      <c r="D246" s="7">
        <v>45555</v>
      </c>
      <c r="E246" t="s">
        <v>64</v>
      </c>
      <c r="F246" s="8">
        <v>221143</v>
      </c>
      <c r="G246" t="s">
        <v>94</v>
      </c>
    </row>
    <row r="247" spans="1:7" x14ac:dyDescent="0.25">
      <c r="A247" t="s">
        <v>23</v>
      </c>
      <c r="B247" t="s">
        <v>24</v>
      </c>
      <c r="C247" t="s">
        <v>25</v>
      </c>
      <c r="D247" s="7">
        <v>45556</v>
      </c>
      <c r="E247" t="s">
        <v>100</v>
      </c>
      <c r="F247" s="8">
        <v>820476.5</v>
      </c>
      <c r="G247" t="s">
        <v>94</v>
      </c>
    </row>
    <row r="248" spans="1:7" x14ac:dyDescent="0.25">
      <c r="A248" t="s">
        <v>23</v>
      </c>
      <c r="B248" t="s">
        <v>24</v>
      </c>
      <c r="C248" t="s">
        <v>25</v>
      </c>
      <c r="D248" s="7">
        <v>45563</v>
      </c>
      <c r="E248" t="s">
        <v>88</v>
      </c>
      <c r="F248" s="8">
        <v>360000</v>
      </c>
      <c r="G248" t="s">
        <v>94</v>
      </c>
    </row>
    <row r="249" spans="1:7" x14ac:dyDescent="0.25">
      <c r="A249" t="s">
        <v>23</v>
      </c>
      <c r="B249" t="s">
        <v>29</v>
      </c>
      <c r="C249" t="s">
        <v>25</v>
      </c>
      <c r="D249" s="7">
        <v>45565</v>
      </c>
      <c r="E249" t="s">
        <v>91</v>
      </c>
      <c r="F249" s="8">
        <v>190476.19</v>
      </c>
      <c r="G249" t="s">
        <v>94</v>
      </c>
    </row>
    <row r="250" spans="1:7" x14ac:dyDescent="0.25">
      <c r="A250" t="s">
        <v>23</v>
      </c>
      <c r="B250" t="s">
        <v>24</v>
      </c>
      <c r="C250" t="s">
        <v>25</v>
      </c>
      <c r="D250" s="7">
        <v>45566</v>
      </c>
      <c r="E250" t="s">
        <v>100</v>
      </c>
      <c r="F250" s="8">
        <v>775629</v>
      </c>
      <c r="G250" t="s">
        <v>94</v>
      </c>
    </row>
    <row r="251" spans="1:7" x14ac:dyDescent="0.25">
      <c r="A251" t="s">
        <v>23</v>
      </c>
      <c r="B251" t="s">
        <v>29</v>
      </c>
      <c r="C251" t="s">
        <v>30</v>
      </c>
      <c r="D251" s="7">
        <v>45568</v>
      </c>
      <c r="E251" t="s">
        <v>71</v>
      </c>
      <c r="F251" s="8">
        <v>805714.29</v>
      </c>
      <c r="G251" t="s">
        <v>94</v>
      </c>
    </row>
    <row r="252" spans="1:7" x14ac:dyDescent="0.25">
      <c r="A252" t="s">
        <v>23</v>
      </c>
      <c r="B252" t="s">
        <v>24</v>
      </c>
      <c r="C252" t="s">
        <v>25</v>
      </c>
      <c r="D252" s="7">
        <v>45572</v>
      </c>
      <c r="E252" t="s">
        <v>64</v>
      </c>
      <c r="F252" s="8">
        <v>153333.32999999999</v>
      </c>
      <c r="G252" t="s">
        <v>94</v>
      </c>
    </row>
    <row r="253" spans="1:7" x14ac:dyDescent="0.25">
      <c r="A253" t="s">
        <v>23</v>
      </c>
      <c r="B253" t="s">
        <v>24</v>
      </c>
      <c r="C253" t="s">
        <v>25</v>
      </c>
      <c r="D253" s="7">
        <v>45582</v>
      </c>
      <c r="E253" t="s">
        <v>101</v>
      </c>
      <c r="F253" s="8">
        <v>23430</v>
      </c>
      <c r="G253" t="s">
        <v>94</v>
      </c>
    </row>
    <row r="254" spans="1:7" x14ac:dyDescent="0.25">
      <c r="A254" t="s">
        <v>23</v>
      </c>
      <c r="B254" t="s">
        <v>24</v>
      </c>
      <c r="C254" t="s">
        <v>25</v>
      </c>
      <c r="D254" s="7">
        <v>45584</v>
      </c>
      <c r="E254" t="s">
        <v>60</v>
      </c>
      <c r="F254" s="8">
        <v>565740</v>
      </c>
      <c r="G254" t="s">
        <v>94</v>
      </c>
    </row>
    <row r="255" spans="1:7" x14ac:dyDescent="0.25">
      <c r="A255" t="s">
        <v>23</v>
      </c>
      <c r="B255" t="s">
        <v>24</v>
      </c>
      <c r="C255" t="s">
        <v>30</v>
      </c>
      <c r="D255" s="7">
        <v>45586</v>
      </c>
      <c r="E255" t="s">
        <v>91</v>
      </c>
      <c r="F255" s="8">
        <v>952381</v>
      </c>
      <c r="G255" t="s">
        <v>94</v>
      </c>
    </row>
    <row r="256" spans="1:7" x14ac:dyDescent="0.25">
      <c r="A256" t="s">
        <v>23</v>
      </c>
      <c r="B256" t="s">
        <v>24</v>
      </c>
      <c r="C256" t="s">
        <v>25</v>
      </c>
      <c r="D256" s="7">
        <v>45590</v>
      </c>
      <c r="E256" t="s">
        <v>39</v>
      </c>
      <c r="F256" s="8">
        <v>415324</v>
      </c>
      <c r="G256" t="s">
        <v>94</v>
      </c>
    </row>
    <row r="257" spans="1:7" x14ac:dyDescent="0.25">
      <c r="A257" t="s">
        <v>23</v>
      </c>
      <c r="B257" t="s">
        <v>29</v>
      </c>
      <c r="C257" t="s">
        <v>30</v>
      </c>
      <c r="D257" s="7">
        <v>45590</v>
      </c>
      <c r="E257" t="s">
        <v>102</v>
      </c>
      <c r="F257" s="8">
        <v>3619000</v>
      </c>
      <c r="G257" t="s">
        <v>94</v>
      </c>
    </row>
    <row r="258" spans="1:7" x14ac:dyDescent="0.25">
      <c r="A258" t="s">
        <v>23</v>
      </c>
      <c r="B258" t="s">
        <v>29</v>
      </c>
      <c r="C258" t="s">
        <v>30</v>
      </c>
      <c r="D258" s="7">
        <v>45594</v>
      </c>
      <c r="E258" t="s">
        <v>74</v>
      </c>
      <c r="F258" s="8">
        <v>1417142.85</v>
      </c>
      <c r="G258" t="s">
        <v>94</v>
      </c>
    </row>
    <row r="259" spans="1:7" x14ac:dyDescent="0.25">
      <c r="A259" t="s">
        <v>23</v>
      </c>
      <c r="B259" t="s">
        <v>24</v>
      </c>
      <c r="C259" t="s">
        <v>30</v>
      </c>
      <c r="D259" s="7">
        <v>45604</v>
      </c>
      <c r="E259" t="s">
        <v>103</v>
      </c>
      <c r="F259" s="8">
        <v>285715</v>
      </c>
      <c r="G259" t="s">
        <v>94</v>
      </c>
    </row>
    <row r="260" spans="1:7" x14ac:dyDescent="0.25">
      <c r="A260" t="s">
        <v>23</v>
      </c>
      <c r="B260" t="s">
        <v>24</v>
      </c>
      <c r="C260" t="s">
        <v>25</v>
      </c>
      <c r="D260" s="7">
        <v>45607</v>
      </c>
      <c r="E260" t="s">
        <v>64</v>
      </c>
      <c r="F260" s="8">
        <v>183325</v>
      </c>
      <c r="G260" t="s">
        <v>94</v>
      </c>
    </row>
    <row r="261" spans="1:7" x14ac:dyDescent="0.25">
      <c r="A261" t="s">
        <v>23</v>
      </c>
      <c r="B261" t="s">
        <v>24</v>
      </c>
      <c r="C261" t="s">
        <v>30</v>
      </c>
      <c r="D261" s="7">
        <v>45609</v>
      </c>
      <c r="E261" t="s">
        <v>80</v>
      </c>
      <c r="F261" s="8">
        <v>481219.04</v>
      </c>
      <c r="G261" t="s">
        <v>94</v>
      </c>
    </row>
    <row r="262" spans="1:7" x14ac:dyDescent="0.25">
      <c r="A262" t="s">
        <v>23</v>
      </c>
      <c r="B262" t="s">
        <v>24</v>
      </c>
      <c r="C262" t="s">
        <v>25</v>
      </c>
      <c r="D262" s="7">
        <v>45609</v>
      </c>
      <c r="E262" t="s">
        <v>70</v>
      </c>
      <c r="F262" s="8">
        <v>393730</v>
      </c>
      <c r="G262" t="s">
        <v>94</v>
      </c>
    </row>
    <row r="263" spans="1:7" x14ac:dyDescent="0.25">
      <c r="A263" t="s">
        <v>23</v>
      </c>
      <c r="B263" t="s">
        <v>24</v>
      </c>
      <c r="C263" t="s">
        <v>25</v>
      </c>
      <c r="D263" s="7">
        <v>45610</v>
      </c>
      <c r="E263" t="s">
        <v>70</v>
      </c>
      <c r="F263" s="8">
        <v>148580</v>
      </c>
      <c r="G263" t="s">
        <v>94</v>
      </c>
    </row>
    <row r="264" spans="1:7" x14ac:dyDescent="0.25">
      <c r="A264" t="s">
        <v>23</v>
      </c>
      <c r="B264" t="s">
        <v>29</v>
      </c>
      <c r="C264" t="s">
        <v>25</v>
      </c>
      <c r="D264" s="7">
        <v>45615</v>
      </c>
      <c r="E264" t="s">
        <v>91</v>
      </c>
      <c r="F264" s="8">
        <v>161714.28</v>
      </c>
      <c r="G264" t="s">
        <v>94</v>
      </c>
    </row>
    <row r="265" spans="1:7" x14ac:dyDescent="0.25">
      <c r="A265" t="s">
        <v>23</v>
      </c>
      <c r="B265" t="s">
        <v>24</v>
      </c>
      <c r="C265" t="s">
        <v>25</v>
      </c>
      <c r="D265" s="7">
        <v>45619</v>
      </c>
      <c r="E265" t="s">
        <v>90</v>
      </c>
      <c r="F265" s="8">
        <v>1188624.1000000001</v>
      </c>
      <c r="G265" t="s">
        <v>94</v>
      </c>
    </row>
    <row r="266" spans="1:7" x14ac:dyDescent="0.25">
      <c r="A266" t="s">
        <v>23</v>
      </c>
      <c r="B266" t="s">
        <v>24</v>
      </c>
      <c r="C266" t="s">
        <v>25</v>
      </c>
      <c r="D266" s="7">
        <v>45628</v>
      </c>
      <c r="E266" t="s">
        <v>104</v>
      </c>
      <c r="F266" s="8">
        <v>758095.25</v>
      </c>
      <c r="G266" t="s">
        <v>94</v>
      </c>
    </row>
    <row r="267" spans="1:7" x14ac:dyDescent="0.25">
      <c r="A267" t="s">
        <v>23</v>
      </c>
      <c r="B267" t="s">
        <v>29</v>
      </c>
      <c r="C267" t="s">
        <v>30</v>
      </c>
      <c r="D267" s="7">
        <v>45636</v>
      </c>
      <c r="E267" t="s">
        <v>105</v>
      </c>
      <c r="F267" s="8">
        <v>1591798.1</v>
      </c>
      <c r="G267" t="s">
        <v>94</v>
      </c>
    </row>
    <row r="268" spans="1:7" x14ac:dyDescent="0.25">
      <c r="A268" t="s">
        <v>23</v>
      </c>
      <c r="B268" t="s">
        <v>29</v>
      </c>
      <c r="C268" t="s">
        <v>30</v>
      </c>
      <c r="D268" s="7">
        <v>45636</v>
      </c>
      <c r="E268" t="s">
        <v>105</v>
      </c>
      <c r="F268" s="8">
        <v>260701.9</v>
      </c>
      <c r="G268" t="s">
        <v>94</v>
      </c>
    </row>
    <row r="269" spans="1:7" x14ac:dyDescent="0.25">
      <c r="A269" t="s">
        <v>23</v>
      </c>
      <c r="B269" t="s">
        <v>24</v>
      </c>
      <c r="C269" t="s">
        <v>25</v>
      </c>
      <c r="D269" s="7">
        <v>45645</v>
      </c>
      <c r="E269" t="s">
        <v>106</v>
      </c>
      <c r="F269" s="8">
        <v>211428.56</v>
      </c>
      <c r="G269" t="s">
        <v>94</v>
      </c>
    </row>
    <row r="270" spans="1:7" x14ac:dyDescent="0.25">
      <c r="A270" t="s">
        <v>23</v>
      </c>
      <c r="B270" t="s">
        <v>24</v>
      </c>
      <c r="C270" t="s">
        <v>25</v>
      </c>
      <c r="D270" s="7">
        <v>45646</v>
      </c>
      <c r="E270" t="s">
        <v>39</v>
      </c>
      <c r="F270" s="8">
        <v>208080</v>
      </c>
      <c r="G270" t="s">
        <v>94</v>
      </c>
    </row>
    <row r="271" spans="1:7" x14ac:dyDescent="0.25">
      <c r="A271" t="s">
        <v>23</v>
      </c>
      <c r="B271" t="s">
        <v>24</v>
      </c>
      <c r="C271" t="s">
        <v>25</v>
      </c>
      <c r="D271" s="7">
        <v>45649</v>
      </c>
      <c r="E271" t="s">
        <v>107</v>
      </c>
      <c r="F271" s="8">
        <v>213190.5</v>
      </c>
      <c r="G271" t="s">
        <v>94</v>
      </c>
    </row>
    <row r="272" spans="1:7" x14ac:dyDescent="0.25">
      <c r="A272" t="s">
        <v>23</v>
      </c>
      <c r="B272" t="s">
        <v>24</v>
      </c>
      <c r="C272" t="s">
        <v>25</v>
      </c>
      <c r="D272" s="7">
        <v>45650</v>
      </c>
      <c r="E272" t="s">
        <v>96</v>
      </c>
      <c r="F272" s="8">
        <v>88575</v>
      </c>
      <c r="G272" t="s">
        <v>94</v>
      </c>
    </row>
    <row r="273" spans="1:7" x14ac:dyDescent="0.25">
      <c r="A273" t="s">
        <v>23</v>
      </c>
      <c r="B273" t="s">
        <v>24</v>
      </c>
      <c r="C273" t="s">
        <v>25</v>
      </c>
      <c r="D273" s="7">
        <v>45654</v>
      </c>
      <c r="E273" t="s">
        <v>107</v>
      </c>
      <c r="F273" s="8">
        <v>215715</v>
      </c>
      <c r="G273" t="s">
        <v>94</v>
      </c>
    </row>
    <row r="274" spans="1:7" x14ac:dyDescent="0.25">
      <c r="A274" t="s">
        <v>23</v>
      </c>
      <c r="B274" t="s">
        <v>24</v>
      </c>
      <c r="C274" t="s">
        <v>25</v>
      </c>
      <c r="D274" s="7">
        <v>45654</v>
      </c>
      <c r="E274" t="s">
        <v>108</v>
      </c>
      <c r="F274" s="8">
        <v>290000</v>
      </c>
      <c r="G274" t="s">
        <v>94</v>
      </c>
    </row>
    <row r="275" spans="1:7" x14ac:dyDescent="0.25">
      <c r="A275" t="s">
        <v>23</v>
      </c>
      <c r="B275" t="s">
        <v>24</v>
      </c>
      <c r="C275" t="s">
        <v>25</v>
      </c>
      <c r="D275" s="7">
        <v>45654</v>
      </c>
      <c r="E275" t="s">
        <v>109</v>
      </c>
      <c r="F275" s="8">
        <v>358571</v>
      </c>
      <c r="G275" t="s">
        <v>94</v>
      </c>
    </row>
    <row r="276" spans="1:7" x14ac:dyDescent="0.25">
      <c r="A276" t="s">
        <v>23</v>
      </c>
      <c r="B276" t="s">
        <v>24</v>
      </c>
      <c r="C276" t="s">
        <v>25</v>
      </c>
      <c r="D276" s="7">
        <v>45659</v>
      </c>
      <c r="E276" t="s">
        <v>70</v>
      </c>
      <c r="F276" s="8">
        <v>540476</v>
      </c>
      <c r="G276" t="s">
        <v>94</v>
      </c>
    </row>
    <row r="277" spans="1:7" x14ac:dyDescent="0.25">
      <c r="A277" t="s">
        <v>23</v>
      </c>
      <c r="B277" t="s">
        <v>24</v>
      </c>
      <c r="C277" t="s">
        <v>25</v>
      </c>
      <c r="D277" s="7">
        <v>45660</v>
      </c>
      <c r="E277" t="s">
        <v>96</v>
      </c>
      <c r="F277" s="8">
        <v>647640</v>
      </c>
      <c r="G277" t="s">
        <v>94</v>
      </c>
    </row>
    <row r="278" spans="1:7" x14ac:dyDescent="0.25">
      <c r="A278" t="s">
        <v>23</v>
      </c>
      <c r="B278" t="s">
        <v>24</v>
      </c>
      <c r="C278" t="s">
        <v>25</v>
      </c>
      <c r="D278" s="7">
        <v>45663</v>
      </c>
      <c r="E278" t="s">
        <v>110</v>
      </c>
      <c r="F278" s="8">
        <v>151333.5</v>
      </c>
      <c r="G278" t="s">
        <v>94</v>
      </c>
    </row>
    <row r="279" spans="1:7" x14ac:dyDescent="0.25">
      <c r="A279" t="s">
        <v>23</v>
      </c>
      <c r="B279" t="s">
        <v>24</v>
      </c>
      <c r="C279" t="s">
        <v>25</v>
      </c>
      <c r="D279" s="7">
        <v>45663</v>
      </c>
      <c r="E279" t="s">
        <v>111</v>
      </c>
      <c r="F279" s="8">
        <v>854523.9</v>
      </c>
      <c r="G279" t="s">
        <v>94</v>
      </c>
    </row>
    <row r="280" spans="1:7" x14ac:dyDescent="0.25">
      <c r="A280" t="s">
        <v>23</v>
      </c>
      <c r="B280" t="s">
        <v>24</v>
      </c>
      <c r="C280" t="s">
        <v>25</v>
      </c>
      <c r="D280" s="7">
        <v>45663</v>
      </c>
      <c r="E280" t="s">
        <v>109</v>
      </c>
      <c r="F280" s="8">
        <v>217143</v>
      </c>
      <c r="G280" t="s">
        <v>94</v>
      </c>
    </row>
    <row r="281" spans="1:7" x14ac:dyDescent="0.25">
      <c r="A281" t="s">
        <v>23</v>
      </c>
      <c r="B281" t="s">
        <v>24</v>
      </c>
      <c r="C281" t="s">
        <v>25</v>
      </c>
      <c r="D281" s="7">
        <v>45666</v>
      </c>
      <c r="E281" t="s">
        <v>96</v>
      </c>
      <c r="F281" s="8">
        <v>227142.86</v>
      </c>
      <c r="G281" t="s">
        <v>94</v>
      </c>
    </row>
    <row r="282" spans="1:7" x14ac:dyDescent="0.25">
      <c r="A282" t="s">
        <v>23</v>
      </c>
      <c r="B282" t="s">
        <v>29</v>
      </c>
      <c r="C282" t="s">
        <v>25</v>
      </c>
      <c r="D282" s="7">
        <v>45667</v>
      </c>
      <c r="E282" t="s">
        <v>69</v>
      </c>
      <c r="F282" s="8">
        <v>466190.48</v>
      </c>
      <c r="G282" t="s">
        <v>94</v>
      </c>
    </row>
    <row r="283" spans="1:7" x14ac:dyDescent="0.25">
      <c r="A283" t="s">
        <v>23</v>
      </c>
      <c r="B283" t="s">
        <v>29</v>
      </c>
      <c r="C283" t="s">
        <v>25</v>
      </c>
      <c r="D283" s="7">
        <v>45667</v>
      </c>
      <c r="E283" t="s">
        <v>112</v>
      </c>
      <c r="F283" s="8">
        <v>476190.48</v>
      </c>
      <c r="G283" t="s">
        <v>94</v>
      </c>
    </row>
    <row r="284" spans="1:7" x14ac:dyDescent="0.25">
      <c r="A284" t="s">
        <v>23</v>
      </c>
      <c r="B284" t="s">
        <v>24</v>
      </c>
      <c r="C284" t="s">
        <v>25</v>
      </c>
      <c r="D284" s="7">
        <v>45668</v>
      </c>
      <c r="E284" t="s">
        <v>96</v>
      </c>
      <c r="F284" s="8">
        <v>511335.3</v>
      </c>
      <c r="G284" t="s">
        <v>94</v>
      </c>
    </row>
    <row r="285" spans="1:7" x14ac:dyDescent="0.25">
      <c r="A285" t="s">
        <v>23</v>
      </c>
      <c r="B285" t="s">
        <v>29</v>
      </c>
      <c r="C285" t="s">
        <v>25</v>
      </c>
      <c r="D285" s="7">
        <v>45668</v>
      </c>
      <c r="E285" t="s">
        <v>113</v>
      </c>
      <c r="F285" s="8">
        <v>226571.6</v>
      </c>
      <c r="G285" t="s">
        <v>94</v>
      </c>
    </row>
    <row r="286" spans="1:7" x14ac:dyDescent="0.25">
      <c r="A286" t="s">
        <v>23</v>
      </c>
      <c r="B286" t="s">
        <v>24</v>
      </c>
      <c r="C286" t="s">
        <v>25</v>
      </c>
      <c r="D286" s="7">
        <v>45670</v>
      </c>
      <c r="E286" t="s">
        <v>114</v>
      </c>
      <c r="F286" s="8">
        <v>217143</v>
      </c>
      <c r="G286" t="s">
        <v>94</v>
      </c>
    </row>
    <row r="287" spans="1:7" x14ac:dyDescent="0.25">
      <c r="A287" t="s">
        <v>23</v>
      </c>
      <c r="B287" t="s">
        <v>29</v>
      </c>
      <c r="C287" t="s">
        <v>25</v>
      </c>
      <c r="D287" s="7">
        <v>45670</v>
      </c>
      <c r="E287" t="s">
        <v>115</v>
      </c>
      <c r="F287" s="8">
        <v>1308382.3</v>
      </c>
      <c r="G287" t="s">
        <v>94</v>
      </c>
    </row>
    <row r="288" spans="1:7" x14ac:dyDescent="0.25">
      <c r="A288" t="s">
        <v>23</v>
      </c>
      <c r="B288" t="s">
        <v>24</v>
      </c>
      <c r="C288" t="s">
        <v>25</v>
      </c>
      <c r="D288" s="7">
        <v>45672</v>
      </c>
      <c r="E288" t="s">
        <v>116</v>
      </c>
      <c r="F288" s="8">
        <v>142380</v>
      </c>
      <c r="G288" t="s">
        <v>94</v>
      </c>
    </row>
    <row r="289" spans="1:7" x14ac:dyDescent="0.25">
      <c r="A289" t="s">
        <v>23</v>
      </c>
      <c r="B289" t="s">
        <v>24</v>
      </c>
      <c r="C289" t="s">
        <v>25</v>
      </c>
      <c r="D289" s="7">
        <v>45672</v>
      </c>
      <c r="E289" t="s">
        <v>111</v>
      </c>
      <c r="F289" s="8">
        <v>230112</v>
      </c>
      <c r="G289" t="s">
        <v>94</v>
      </c>
    </row>
    <row r="290" spans="1:7" x14ac:dyDescent="0.25">
      <c r="A290" t="s">
        <v>23</v>
      </c>
      <c r="B290" t="s">
        <v>24</v>
      </c>
      <c r="C290" t="s">
        <v>25</v>
      </c>
      <c r="D290" s="7">
        <v>45673</v>
      </c>
      <c r="E290" t="s">
        <v>111</v>
      </c>
      <c r="F290" s="8">
        <v>389732</v>
      </c>
      <c r="G290" t="s">
        <v>94</v>
      </c>
    </row>
    <row r="291" spans="1:7" x14ac:dyDescent="0.25">
      <c r="A291" t="s">
        <v>23</v>
      </c>
      <c r="B291" t="s">
        <v>24</v>
      </c>
      <c r="C291" t="s">
        <v>25</v>
      </c>
      <c r="D291" s="7">
        <v>45674</v>
      </c>
      <c r="E291" t="s">
        <v>70</v>
      </c>
      <c r="F291" s="8">
        <v>575238.09</v>
      </c>
      <c r="G291" t="s">
        <v>94</v>
      </c>
    </row>
    <row r="292" spans="1:7" x14ac:dyDescent="0.25">
      <c r="A292" t="s">
        <v>23</v>
      </c>
      <c r="B292" t="s">
        <v>24</v>
      </c>
      <c r="C292" t="s">
        <v>25</v>
      </c>
      <c r="D292" s="7">
        <v>45675</v>
      </c>
      <c r="E292" t="s">
        <v>110</v>
      </c>
      <c r="F292" s="8">
        <v>67720</v>
      </c>
      <c r="G292" t="s">
        <v>94</v>
      </c>
    </row>
    <row r="293" spans="1:7" x14ac:dyDescent="0.25">
      <c r="A293" t="s">
        <v>23</v>
      </c>
      <c r="B293" t="s">
        <v>29</v>
      </c>
      <c r="C293" t="s">
        <v>30</v>
      </c>
      <c r="D293" s="7">
        <v>45678</v>
      </c>
      <c r="E293" t="s">
        <v>117</v>
      </c>
      <c r="F293" s="8">
        <v>1857142.86</v>
      </c>
      <c r="G293" t="s">
        <v>94</v>
      </c>
    </row>
    <row r="294" spans="1:7" x14ac:dyDescent="0.25">
      <c r="A294" t="s">
        <v>23</v>
      </c>
      <c r="B294" t="s">
        <v>24</v>
      </c>
      <c r="C294" t="s">
        <v>25</v>
      </c>
      <c r="D294" s="7">
        <v>45679</v>
      </c>
      <c r="E294" t="s">
        <v>63</v>
      </c>
      <c r="F294" s="8">
        <v>148580</v>
      </c>
      <c r="G294" t="s">
        <v>94</v>
      </c>
    </row>
    <row r="295" spans="1:7" x14ac:dyDescent="0.25">
      <c r="A295" t="s">
        <v>23</v>
      </c>
      <c r="B295" t="s">
        <v>29</v>
      </c>
      <c r="C295" t="s">
        <v>25</v>
      </c>
      <c r="D295" s="7">
        <v>45679</v>
      </c>
      <c r="E295" t="s">
        <v>118</v>
      </c>
      <c r="F295" s="8">
        <v>285713</v>
      </c>
      <c r="G295" t="s">
        <v>94</v>
      </c>
    </row>
    <row r="296" spans="1:7" x14ac:dyDescent="0.25">
      <c r="A296" t="s">
        <v>23</v>
      </c>
      <c r="B296" t="s">
        <v>24</v>
      </c>
      <c r="C296" t="s">
        <v>25</v>
      </c>
      <c r="D296" s="7">
        <v>45684</v>
      </c>
      <c r="E296" t="s">
        <v>96</v>
      </c>
      <c r="F296" s="8">
        <v>380894</v>
      </c>
      <c r="G296" t="s">
        <v>94</v>
      </c>
    </row>
    <row r="297" spans="1:7" x14ac:dyDescent="0.25">
      <c r="A297" t="s">
        <v>23</v>
      </c>
      <c r="B297" t="s">
        <v>24</v>
      </c>
      <c r="C297" t="s">
        <v>30</v>
      </c>
      <c r="D297" s="7">
        <v>45686</v>
      </c>
      <c r="E297" t="s">
        <v>103</v>
      </c>
      <c r="F297" s="8">
        <v>131690</v>
      </c>
      <c r="G297" t="s">
        <v>94</v>
      </c>
    </row>
    <row r="298" spans="1:7" x14ac:dyDescent="0.25">
      <c r="A298" t="s">
        <v>23</v>
      </c>
      <c r="B298" t="s">
        <v>29</v>
      </c>
      <c r="C298" t="s">
        <v>25</v>
      </c>
      <c r="D298" s="7">
        <v>45686</v>
      </c>
      <c r="E298" t="s">
        <v>91</v>
      </c>
      <c r="F298" s="8">
        <v>704761.9</v>
      </c>
      <c r="G298" t="s">
        <v>94</v>
      </c>
    </row>
    <row r="299" spans="1:7" x14ac:dyDescent="0.25">
      <c r="A299" t="s">
        <v>23</v>
      </c>
      <c r="B299" t="s">
        <v>29</v>
      </c>
      <c r="C299" t="s">
        <v>25</v>
      </c>
      <c r="D299" s="7">
        <v>45687</v>
      </c>
      <c r="E299" t="s">
        <v>119</v>
      </c>
      <c r="F299" s="8">
        <v>285714.3</v>
      </c>
      <c r="G299" t="s">
        <v>94</v>
      </c>
    </row>
    <row r="300" spans="1:7" x14ac:dyDescent="0.25">
      <c r="A300" t="s">
        <v>23</v>
      </c>
      <c r="B300" t="s">
        <v>29</v>
      </c>
      <c r="C300" t="s">
        <v>25</v>
      </c>
      <c r="D300" s="7">
        <v>45695</v>
      </c>
      <c r="E300" t="s">
        <v>120</v>
      </c>
      <c r="F300" s="8">
        <v>110190.48</v>
      </c>
      <c r="G300" t="s">
        <v>94</v>
      </c>
    </row>
    <row r="301" spans="1:7" x14ac:dyDescent="0.25">
      <c r="A301" t="s">
        <v>23</v>
      </c>
      <c r="B301" t="s">
        <v>24</v>
      </c>
      <c r="C301" t="s">
        <v>25</v>
      </c>
      <c r="D301" s="7">
        <v>45698</v>
      </c>
      <c r="E301" t="s">
        <v>39</v>
      </c>
      <c r="F301" s="8">
        <v>538606</v>
      </c>
      <c r="G301" t="s">
        <v>94</v>
      </c>
    </row>
    <row r="302" spans="1:7" x14ac:dyDescent="0.25">
      <c r="A302" t="s">
        <v>23</v>
      </c>
      <c r="B302" t="s">
        <v>24</v>
      </c>
      <c r="C302" t="s">
        <v>25</v>
      </c>
      <c r="D302" s="7">
        <v>45699</v>
      </c>
      <c r="E302" t="s">
        <v>64</v>
      </c>
      <c r="F302" s="8">
        <v>222642</v>
      </c>
      <c r="G302" t="s">
        <v>94</v>
      </c>
    </row>
    <row r="303" spans="1:7" x14ac:dyDescent="0.25">
      <c r="A303" t="s">
        <v>23</v>
      </c>
      <c r="B303" t="s">
        <v>24</v>
      </c>
      <c r="C303" t="s">
        <v>25</v>
      </c>
      <c r="D303" s="7">
        <v>45700</v>
      </c>
      <c r="E303" t="s">
        <v>96</v>
      </c>
      <c r="F303" s="8">
        <v>470556</v>
      </c>
      <c r="G303" t="s">
        <v>94</v>
      </c>
    </row>
    <row r="304" spans="1:7" x14ac:dyDescent="0.25">
      <c r="A304" t="s">
        <v>23</v>
      </c>
      <c r="B304" t="s">
        <v>29</v>
      </c>
      <c r="C304" t="s">
        <v>30</v>
      </c>
      <c r="D304" s="7">
        <v>45701</v>
      </c>
      <c r="E304" t="s">
        <v>38</v>
      </c>
      <c r="F304" s="8">
        <v>238095</v>
      </c>
      <c r="G304" t="s">
        <v>94</v>
      </c>
    </row>
    <row r="305" spans="1:7" x14ac:dyDescent="0.25">
      <c r="A305" t="s">
        <v>23</v>
      </c>
      <c r="B305" t="s">
        <v>29</v>
      </c>
      <c r="C305" t="s">
        <v>25</v>
      </c>
      <c r="D305" s="7">
        <v>45701</v>
      </c>
      <c r="E305" t="s">
        <v>71</v>
      </c>
      <c r="F305" s="8">
        <v>952380.95</v>
      </c>
      <c r="G305" t="s">
        <v>94</v>
      </c>
    </row>
    <row r="306" spans="1:7" x14ac:dyDescent="0.25">
      <c r="A306" t="s">
        <v>23</v>
      </c>
      <c r="B306" t="s">
        <v>24</v>
      </c>
      <c r="C306" t="s">
        <v>25</v>
      </c>
      <c r="D306" s="7">
        <v>45709</v>
      </c>
      <c r="E306" t="s">
        <v>96</v>
      </c>
      <c r="F306" s="8">
        <v>316667</v>
      </c>
      <c r="G306" t="s">
        <v>94</v>
      </c>
    </row>
    <row r="307" spans="1:7" x14ac:dyDescent="0.25">
      <c r="A307" t="s">
        <v>23</v>
      </c>
      <c r="B307" t="s">
        <v>24</v>
      </c>
      <c r="C307" t="s">
        <v>25</v>
      </c>
      <c r="D307" s="7">
        <v>45709</v>
      </c>
      <c r="E307" t="s">
        <v>121</v>
      </c>
      <c r="F307" s="8">
        <v>371520</v>
      </c>
      <c r="G307" t="s">
        <v>94</v>
      </c>
    </row>
    <row r="308" spans="1:7" x14ac:dyDescent="0.25">
      <c r="A308" t="s">
        <v>23</v>
      </c>
      <c r="B308" t="s">
        <v>24</v>
      </c>
      <c r="C308" t="s">
        <v>25</v>
      </c>
      <c r="D308" s="7">
        <v>45710</v>
      </c>
      <c r="E308" t="s">
        <v>90</v>
      </c>
      <c r="F308" s="8">
        <v>2314286</v>
      </c>
      <c r="G308" t="s">
        <v>94</v>
      </c>
    </row>
    <row r="309" spans="1:7" x14ac:dyDescent="0.25">
      <c r="A309" t="s">
        <v>23</v>
      </c>
      <c r="B309" t="s">
        <v>29</v>
      </c>
      <c r="C309" t="s">
        <v>25</v>
      </c>
      <c r="D309" s="7">
        <v>45710</v>
      </c>
      <c r="E309" t="s">
        <v>54</v>
      </c>
      <c r="F309" s="8">
        <v>209523.8</v>
      </c>
      <c r="G309" t="s">
        <v>94</v>
      </c>
    </row>
    <row r="310" spans="1:7" x14ac:dyDescent="0.25">
      <c r="A310" t="s">
        <v>23</v>
      </c>
      <c r="B310" t="s">
        <v>24</v>
      </c>
      <c r="C310" t="s">
        <v>25</v>
      </c>
      <c r="D310" s="7">
        <v>45717</v>
      </c>
      <c r="E310" t="s">
        <v>122</v>
      </c>
      <c r="F310" s="8">
        <v>148287</v>
      </c>
      <c r="G310" t="s">
        <v>94</v>
      </c>
    </row>
    <row r="311" spans="1:7" x14ac:dyDescent="0.25">
      <c r="A311" t="s">
        <v>23</v>
      </c>
      <c r="B311" t="s">
        <v>24</v>
      </c>
      <c r="C311" t="s">
        <v>25</v>
      </c>
      <c r="D311" s="7">
        <v>45717</v>
      </c>
      <c r="E311" t="s">
        <v>43</v>
      </c>
      <c r="F311" s="8">
        <v>120900</v>
      </c>
      <c r="G311" t="s">
        <v>94</v>
      </c>
    </row>
    <row r="312" spans="1:7" x14ac:dyDescent="0.25">
      <c r="A312" t="s">
        <v>23</v>
      </c>
      <c r="B312" t="s">
        <v>24</v>
      </c>
      <c r="C312" t="s">
        <v>25</v>
      </c>
      <c r="D312" s="7">
        <v>45718</v>
      </c>
      <c r="E312" t="s">
        <v>43</v>
      </c>
      <c r="F312" s="8">
        <v>96720</v>
      </c>
      <c r="G312" t="s">
        <v>94</v>
      </c>
    </row>
    <row r="313" spans="1:7" x14ac:dyDescent="0.25">
      <c r="A313" t="s">
        <v>23</v>
      </c>
      <c r="B313" t="s">
        <v>24</v>
      </c>
      <c r="C313" t="s">
        <v>25</v>
      </c>
      <c r="D313" s="7">
        <v>45718</v>
      </c>
      <c r="E313" t="s">
        <v>43</v>
      </c>
      <c r="F313" s="8">
        <v>175910</v>
      </c>
      <c r="G313" t="s">
        <v>94</v>
      </c>
    </row>
    <row r="314" spans="1:7" x14ac:dyDescent="0.25">
      <c r="A314" t="s">
        <v>23</v>
      </c>
      <c r="B314" t="s">
        <v>24</v>
      </c>
      <c r="C314" t="s">
        <v>25</v>
      </c>
      <c r="D314" s="7">
        <v>45721</v>
      </c>
      <c r="E314" t="s">
        <v>110</v>
      </c>
      <c r="F314" s="8">
        <v>98100</v>
      </c>
      <c r="G314" t="s">
        <v>94</v>
      </c>
    </row>
    <row r="315" spans="1:7" x14ac:dyDescent="0.25">
      <c r="A315" t="s">
        <v>23</v>
      </c>
      <c r="B315" t="s">
        <v>29</v>
      </c>
      <c r="C315" t="s">
        <v>25</v>
      </c>
      <c r="D315" s="7">
        <v>45729</v>
      </c>
      <c r="E315" t="s">
        <v>71</v>
      </c>
      <c r="F315" s="8">
        <v>1177780.95</v>
      </c>
      <c r="G315" t="s">
        <v>94</v>
      </c>
    </row>
    <row r="316" spans="1:7" x14ac:dyDescent="0.25">
      <c r="A316" t="s">
        <v>23</v>
      </c>
      <c r="B316" t="s">
        <v>24</v>
      </c>
      <c r="C316" t="s">
        <v>25</v>
      </c>
      <c r="D316" s="7">
        <v>45734</v>
      </c>
      <c r="E316" t="s">
        <v>123</v>
      </c>
      <c r="F316" s="8">
        <v>913715</v>
      </c>
      <c r="G316" t="s">
        <v>94</v>
      </c>
    </row>
    <row r="317" spans="1:7" x14ac:dyDescent="0.25">
      <c r="A317" t="s">
        <v>23</v>
      </c>
      <c r="B317" t="s">
        <v>29</v>
      </c>
      <c r="C317" t="s">
        <v>25</v>
      </c>
      <c r="D317" s="7">
        <v>45735</v>
      </c>
      <c r="E317" t="s">
        <v>124</v>
      </c>
      <c r="F317" s="8">
        <v>171428.57</v>
      </c>
      <c r="G317" t="s">
        <v>94</v>
      </c>
    </row>
    <row r="318" spans="1:7" x14ac:dyDescent="0.25">
      <c r="A318" t="s">
        <v>23</v>
      </c>
      <c r="B318" t="s">
        <v>24</v>
      </c>
      <c r="C318" t="s">
        <v>25</v>
      </c>
      <c r="D318" s="7">
        <v>45737</v>
      </c>
      <c r="E318" t="s">
        <v>125</v>
      </c>
      <c r="F318" s="8">
        <v>197160</v>
      </c>
      <c r="G318" t="s">
        <v>94</v>
      </c>
    </row>
    <row r="319" spans="1:7" x14ac:dyDescent="0.25">
      <c r="A319" t="s">
        <v>23</v>
      </c>
      <c r="B319" t="s">
        <v>24</v>
      </c>
      <c r="C319" t="s">
        <v>25</v>
      </c>
      <c r="D319" s="7">
        <v>45742</v>
      </c>
      <c r="E319" t="s">
        <v>97</v>
      </c>
      <c r="F319" s="8">
        <v>315225</v>
      </c>
      <c r="G319" t="s">
        <v>94</v>
      </c>
    </row>
    <row r="320" spans="1:7" x14ac:dyDescent="0.25">
      <c r="A320" t="s">
        <v>23</v>
      </c>
      <c r="B320" t="s">
        <v>24</v>
      </c>
      <c r="C320" t="s">
        <v>25</v>
      </c>
      <c r="D320" s="7">
        <v>45745</v>
      </c>
      <c r="E320" t="s">
        <v>90</v>
      </c>
      <c r="F320" s="8">
        <v>780952.5</v>
      </c>
      <c r="G320" t="s">
        <v>94</v>
      </c>
    </row>
    <row r="321" spans="1:7" x14ac:dyDescent="0.25">
      <c r="A321" t="s">
        <v>23</v>
      </c>
      <c r="B321" t="s">
        <v>29</v>
      </c>
      <c r="C321" t="s">
        <v>25</v>
      </c>
      <c r="D321" s="7">
        <v>45745</v>
      </c>
      <c r="E321" t="s">
        <v>91</v>
      </c>
      <c r="F321" s="8">
        <v>63904.76</v>
      </c>
      <c r="G321" t="s">
        <v>94</v>
      </c>
    </row>
    <row r="322" spans="1:7" x14ac:dyDescent="0.25">
      <c r="A322" t="s">
        <v>23</v>
      </c>
      <c r="B322" t="s">
        <v>24</v>
      </c>
      <c r="C322" t="s">
        <v>25</v>
      </c>
      <c r="D322" s="7">
        <v>45750</v>
      </c>
      <c r="E322" t="s">
        <v>96</v>
      </c>
      <c r="F322" s="8">
        <v>418560</v>
      </c>
      <c r="G322" t="s">
        <v>126</v>
      </c>
    </row>
    <row r="323" spans="1:7" x14ac:dyDescent="0.25">
      <c r="A323" t="s">
        <v>23</v>
      </c>
      <c r="B323" t="s">
        <v>24</v>
      </c>
      <c r="C323" t="s">
        <v>25</v>
      </c>
      <c r="D323" s="7">
        <v>45752</v>
      </c>
      <c r="E323" t="s">
        <v>125</v>
      </c>
      <c r="F323" s="8">
        <v>212142.9</v>
      </c>
      <c r="G323" t="s">
        <v>126</v>
      </c>
    </row>
    <row r="324" spans="1:7" x14ac:dyDescent="0.25">
      <c r="A324" t="s">
        <v>23</v>
      </c>
      <c r="B324" t="s">
        <v>24</v>
      </c>
      <c r="C324" t="s">
        <v>25</v>
      </c>
      <c r="D324" s="7">
        <v>45752</v>
      </c>
      <c r="E324" t="s">
        <v>97</v>
      </c>
      <c r="F324" s="8">
        <v>361428.6</v>
      </c>
      <c r="G324" t="s">
        <v>126</v>
      </c>
    </row>
    <row r="325" spans="1:7" x14ac:dyDescent="0.25">
      <c r="A325" t="s">
        <v>23</v>
      </c>
      <c r="B325" t="s">
        <v>24</v>
      </c>
      <c r="C325" t="s">
        <v>25</v>
      </c>
      <c r="D325" s="7">
        <v>45762</v>
      </c>
      <c r="E325" t="s">
        <v>127</v>
      </c>
      <c r="F325" s="8">
        <v>714286</v>
      </c>
      <c r="G325" t="s">
        <v>126</v>
      </c>
    </row>
    <row r="326" spans="1:7" x14ac:dyDescent="0.25">
      <c r="A326" t="s">
        <v>23</v>
      </c>
      <c r="B326" t="s">
        <v>24</v>
      </c>
      <c r="C326" t="s">
        <v>25</v>
      </c>
      <c r="D326" s="7">
        <v>45762</v>
      </c>
      <c r="E326" t="s">
        <v>64</v>
      </c>
      <c r="F326" s="8">
        <v>260238</v>
      </c>
      <c r="G326" t="s">
        <v>126</v>
      </c>
    </row>
    <row r="327" spans="1:7" x14ac:dyDescent="0.25">
      <c r="A327" t="s">
        <v>23</v>
      </c>
      <c r="B327" t="s">
        <v>24</v>
      </c>
      <c r="C327" t="s">
        <v>25</v>
      </c>
      <c r="D327" s="7">
        <v>45763</v>
      </c>
      <c r="E327" t="s">
        <v>97</v>
      </c>
      <c r="F327" s="8">
        <v>214286</v>
      </c>
      <c r="G327" t="s">
        <v>126</v>
      </c>
    </row>
    <row r="328" spans="1:7" x14ac:dyDescent="0.25">
      <c r="A328" t="s">
        <v>23</v>
      </c>
      <c r="B328" t="s">
        <v>24</v>
      </c>
      <c r="C328" t="s">
        <v>25</v>
      </c>
      <c r="D328" s="7">
        <v>45763</v>
      </c>
      <c r="E328" t="s">
        <v>109</v>
      </c>
      <c r="F328" s="8">
        <v>357143</v>
      </c>
      <c r="G328" t="s">
        <v>126</v>
      </c>
    </row>
    <row r="329" spans="1:7" x14ac:dyDescent="0.25">
      <c r="A329" t="s">
        <v>23</v>
      </c>
      <c r="B329" t="s">
        <v>29</v>
      </c>
      <c r="C329" t="s">
        <v>25</v>
      </c>
      <c r="D329" s="7">
        <v>45763</v>
      </c>
      <c r="E329" t="s">
        <v>128</v>
      </c>
      <c r="F329" s="8">
        <v>210000</v>
      </c>
      <c r="G329" t="s">
        <v>126</v>
      </c>
    </row>
    <row r="330" spans="1:7" x14ac:dyDescent="0.25">
      <c r="A330" t="s">
        <v>23</v>
      </c>
      <c r="B330" t="s">
        <v>29</v>
      </c>
      <c r="C330" t="s">
        <v>30</v>
      </c>
      <c r="D330" s="7">
        <v>45768</v>
      </c>
      <c r="E330" t="s">
        <v>129</v>
      </c>
      <c r="F330" s="8">
        <v>3788471.56</v>
      </c>
      <c r="G330" t="s">
        <v>126</v>
      </c>
    </row>
    <row r="331" spans="1:7" x14ac:dyDescent="0.25">
      <c r="A331" t="s">
        <v>23</v>
      </c>
      <c r="B331" t="s">
        <v>24</v>
      </c>
      <c r="C331" t="s">
        <v>25</v>
      </c>
      <c r="D331" s="7">
        <v>45770</v>
      </c>
      <c r="E331" t="s">
        <v>96</v>
      </c>
      <c r="F331" s="8">
        <v>304763.5</v>
      </c>
      <c r="G331" t="s">
        <v>126</v>
      </c>
    </row>
    <row r="332" spans="1:7" x14ac:dyDescent="0.25">
      <c r="A332" t="s">
        <v>23</v>
      </c>
      <c r="B332" t="s">
        <v>29</v>
      </c>
      <c r="C332" t="s">
        <v>30</v>
      </c>
      <c r="D332" s="7">
        <v>45770</v>
      </c>
      <c r="E332" t="s">
        <v>120</v>
      </c>
      <c r="F332" s="8">
        <v>623809.52</v>
      </c>
      <c r="G332" t="s">
        <v>126</v>
      </c>
    </row>
    <row r="333" spans="1:7" x14ac:dyDescent="0.25">
      <c r="A333" t="s">
        <v>23</v>
      </c>
      <c r="B333" t="s">
        <v>29</v>
      </c>
      <c r="C333" t="s">
        <v>25</v>
      </c>
      <c r="D333" s="7">
        <v>45770</v>
      </c>
      <c r="E333" t="s">
        <v>120</v>
      </c>
      <c r="F333" s="8">
        <v>809523.8</v>
      </c>
      <c r="G333" t="s">
        <v>126</v>
      </c>
    </row>
    <row r="334" spans="1:7" x14ac:dyDescent="0.25">
      <c r="A334" t="s">
        <v>23</v>
      </c>
      <c r="B334" t="s">
        <v>24</v>
      </c>
      <c r="C334" t="s">
        <v>25</v>
      </c>
      <c r="D334" s="7">
        <v>45772</v>
      </c>
      <c r="E334" t="s">
        <v>125</v>
      </c>
      <c r="F334" s="8">
        <v>201619.6</v>
      </c>
      <c r="G334" t="s">
        <v>126</v>
      </c>
    </row>
    <row r="335" spans="1:7" x14ac:dyDescent="0.25">
      <c r="A335" t="s">
        <v>23</v>
      </c>
      <c r="B335" t="s">
        <v>24</v>
      </c>
      <c r="C335" t="s">
        <v>25</v>
      </c>
      <c r="D335" s="7">
        <v>45782</v>
      </c>
      <c r="E335" t="s">
        <v>122</v>
      </c>
      <c r="F335" s="8">
        <v>161334</v>
      </c>
      <c r="G335" t="s">
        <v>126</v>
      </c>
    </row>
    <row r="336" spans="1:7" x14ac:dyDescent="0.25">
      <c r="A336" t="s">
        <v>23</v>
      </c>
      <c r="B336" t="s">
        <v>29</v>
      </c>
      <c r="C336" t="s">
        <v>30</v>
      </c>
      <c r="D336" s="7">
        <v>45785</v>
      </c>
      <c r="E336" t="s">
        <v>130</v>
      </c>
      <c r="F336" s="8">
        <v>1292480</v>
      </c>
      <c r="G336" t="s">
        <v>126</v>
      </c>
    </row>
    <row r="337" spans="1:7" x14ac:dyDescent="0.25">
      <c r="A337" t="s">
        <v>23</v>
      </c>
      <c r="B337" t="s">
        <v>24</v>
      </c>
      <c r="C337" t="s">
        <v>25</v>
      </c>
      <c r="D337" s="7">
        <v>45786</v>
      </c>
      <c r="E337" t="s">
        <v>131</v>
      </c>
      <c r="F337" s="8">
        <v>18666.599999999999</v>
      </c>
      <c r="G337" t="s">
        <v>126</v>
      </c>
    </row>
    <row r="338" spans="1:7" x14ac:dyDescent="0.25">
      <c r="A338" t="s">
        <v>23</v>
      </c>
      <c r="B338" t="s">
        <v>24</v>
      </c>
      <c r="C338" t="s">
        <v>25</v>
      </c>
      <c r="D338" s="7">
        <v>45793</v>
      </c>
      <c r="E338" t="s">
        <v>132</v>
      </c>
      <c r="F338" s="8">
        <v>199048</v>
      </c>
      <c r="G338" t="s">
        <v>126</v>
      </c>
    </row>
    <row r="339" spans="1:7" x14ac:dyDescent="0.25">
      <c r="A339" t="s">
        <v>23</v>
      </c>
      <c r="B339" t="s">
        <v>24</v>
      </c>
      <c r="C339" t="s">
        <v>25</v>
      </c>
      <c r="D339" s="7">
        <v>45797</v>
      </c>
      <c r="E339" t="s">
        <v>96</v>
      </c>
      <c r="F339" s="8">
        <v>222625</v>
      </c>
      <c r="G339" t="s">
        <v>126</v>
      </c>
    </row>
    <row r="340" spans="1:7" x14ac:dyDescent="0.25">
      <c r="A340" t="s">
        <v>23</v>
      </c>
      <c r="B340" t="s">
        <v>24</v>
      </c>
      <c r="C340" t="s">
        <v>25</v>
      </c>
      <c r="D340" s="7">
        <v>45800</v>
      </c>
      <c r="E340" t="s">
        <v>123</v>
      </c>
      <c r="F340" s="8">
        <v>852286</v>
      </c>
      <c r="G340" t="s">
        <v>126</v>
      </c>
    </row>
    <row r="341" spans="1:7" x14ac:dyDescent="0.25">
      <c r="A341" t="s">
        <v>23</v>
      </c>
      <c r="B341" t="s">
        <v>24</v>
      </c>
      <c r="C341" t="s">
        <v>25</v>
      </c>
      <c r="D341" s="7">
        <v>45804</v>
      </c>
      <c r="E341" t="s">
        <v>39</v>
      </c>
      <c r="F341" s="8">
        <v>867241</v>
      </c>
      <c r="G341" t="s">
        <v>126</v>
      </c>
    </row>
    <row r="342" spans="1:7" x14ac:dyDescent="0.25">
      <c r="A342" t="s">
        <v>23</v>
      </c>
      <c r="B342" t="s">
        <v>29</v>
      </c>
      <c r="C342" t="s">
        <v>25</v>
      </c>
      <c r="D342" s="7">
        <v>45804</v>
      </c>
      <c r="E342" t="s">
        <v>54</v>
      </c>
      <c r="F342" s="8">
        <v>680047.62</v>
      </c>
      <c r="G342" t="s">
        <v>126</v>
      </c>
    </row>
    <row r="343" spans="1:7" x14ac:dyDescent="0.25">
      <c r="A343" t="s">
        <v>23</v>
      </c>
      <c r="B343" t="s">
        <v>24</v>
      </c>
      <c r="C343" t="s">
        <v>25</v>
      </c>
      <c r="D343" s="7">
        <v>45805</v>
      </c>
      <c r="E343" t="s">
        <v>97</v>
      </c>
      <c r="F343" s="8">
        <v>138096</v>
      </c>
      <c r="G343" t="s">
        <v>126</v>
      </c>
    </row>
    <row r="344" spans="1:7" x14ac:dyDescent="0.25">
      <c r="A344" t="s">
        <v>23</v>
      </c>
      <c r="B344" t="s">
        <v>29</v>
      </c>
      <c r="C344" t="s">
        <v>25</v>
      </c>
      <c r="D344" s="7">
        <v>45805</v>
      </c>
      <c r="E344" t="s">
        <v>80</v>
      </c>
      <c r="F344" s="8">
        <v>97810</v>
      </c>
      <c r="G344" t="s">
        <v>126</v>
      </c>
    </row>
    <row r="345" spans="1:7" x14ac:dyDescent="0.25">
      <c r="A345" t="s">
        <v>23</v>
      </c>
      <c r="B345" t="s">
        <v>29</v>
      </c>
      <c r="C345" t="s">
        <v>25</v>
      </c>
      <c r="D345" s="7">
        <v>45807</v>
      </c>
      <c r="E345" t="s">
        <v>133</v>
      </c>
      <c r="F345" s="8">
        <v>290476.19</v>
      </c>
      <c r="G345" t="s">
        <v>126</v>
      </c>
    </row>
    <row r="346" spans="1:7" x14ac:dyDescent="0.25">
      <c r="A346" t="s">
        <v>23</v>
      </c>
      <c r="B346" t="s">
        <v>29</v>
      </c>
      <c r="C346" t="s">
        <v>30</v>
      </c>
      <c r="D346" s="7">
        <v>45808</v>
      </c>
      <c r="E346" t="s">
        <v>120</v>
      </c>
      <c r="F346" s="8">
        <v>1380952.38</v>
      </c>
      <c r="G346" t="s">
        <v>126</v>
      </c>
    </row>
    <row r="347" spans="1:7" x14ac:dyDescent="0.25">
      <c r="A347" t="s">
        <v>23</v>
      </c>
      <c r="B347" t="s">
        <v>24</v>
      </c>
      <c r="C347" t="s">
        <v>25</v>
      </c>
      <c r="D347" s="7">
        <v>45815</v>
      </c>
      <c r="E347" t="s">
        <v>131</v>
      </c>
      <c r="F347" s="8">
        <v>18285.8</v>
      </c>
      <c r="G347" t="s">
        <v>126</v>
      </c>
    </row>
    <row r="348" spans="1:7" x14ac:dyDescent="0.25">
      <c r="A348" t="s">
        <v>23</v>
      </c>
      <c r="B348" t="s">
        <v>24</v>
      </c>
      <c r="C348" t="s">
        <v>25</v>
      </c>
      <c r="D348" s="7">
        <v>45819</v>
      </c>
      <c r="E348" t="s">
        <v>97</v>
      </c>
      <c r="F348" s="8">
        <v>150480</v>
      </c>
      <c r="G348" t="s">
        <v>126</v>
      </c>
    </row>
    <row r="349" spans="1:7" x14ac:dyDescent="0.25">
      <c r="A349" t="s">
        <v>23</v>
      </c>
      <c r="B349" t="s">
        <v>24</v>
      </c>
      <c r="C349" t="s">
        <v>25</v>
      </c>
      <c r="D349" s="7">
        <v>45822</v>
      </c>
      <c r="E349" t="s">
        <v>90</v>
      </c>
      <c r="F349" s="8">
        <v>1213842</v>
      </c>
      <c r="G349" t="s">
        <v>126</v>
      </c>
    </row>
    <row r="350" spans="1:7" x14ac:dyDescent="0.25">
      <c r="A350" t="s">
        <v>23</v>
      </c>
      <c r="B350" t="s">
        <v>24</v>
      </c>
      <c r="C350" t="s">
        <v>30</v>
      </c>
      <c r="D350" s="7">
        <v>45825</v>
      </c>
      <c r="E350" t="s">
        <v>91</v>
      </c>
      <c r="F350" s="8">
        <v>952340</v>
      </c>
      <c r="G350" t="s">
        <v>126</v>
      </c>
    </row>
    <row r="351" spans="1:7" x14ac:dyDescent="0.25">
      <c r="A351" t="s">
        <v>23</v>
      </c>
      <c r="B351" t="s">
        <v>24</v>
      </c>
      <c r="C351" t="s">
        <v>25</v>
      </c>
      <c r="D351" s="7">
        <v>45829</v>
      </c>
      <c r="E351" t="s">
        <v>96</v>
      </c>
      <c r="F351" s="8">
        <v>171666.67</v>
      </c>
      <c r="G351" t="s">
        <v>126</v>
      </c>
    </row>
    <row r="352" spans="1:7" x14ac:dyDescent="0.25">
      <c r="A352" t="s">
        <v>23</v>
      </c>
      <c r="B352" t="s">
        <v>24</v>
      </c>
      <c r="C352" t="s">
        <v>25</v>
      </c>
      <c r="D352" s="7">
        <v>45829</v>
      </c>
      <c r="E352" t="s">
        <v>122</v>
      </c>
      <c r="F352" s="8">
        <v>149336</v>
      </c>
      <c r="G352" t="s">
        <v>126</v>
      </c>
    </row>
    <row r="353" spans="1:7" x14ac:dyDescent="0.25">
      <c r="A353" t="s">
        <v>23</v>
      </c>
      <c r="B353" t="s">
        <v>24</v>
      </c>
      <c r="C353" t="s">
        <v>25</v>
      </c>
      <c r="D353" s="7">
        <v>45829</v>
      </c>
      <c r="E353" t="s">
        <v>96</v>
      </c>
      <c r="F353" s="8">
        <v>281920</v>
      </c>
      <c r="G353" t="s">
        <v>126</v>
      </c>
    </row>
    <row r="354" spans="1:7" x14ac:dyDescent="0.25">
      <c r="A354" t="s">
        <v>23</v>
      </c>
      <c r="B354" t="s">
        <v>24</v>
      </c>
      <c r="C354" t="s">
        <v>25</v>
      </c>
      <c r="D354" s="7">
        <v>45829</v>
      </c>
      <c r="E354" t="s">
        <v>134</v>
      </c>
      <c r="F354" s="8">
        <v>70950</v>
      </c>
      <c r="G354" t="s">
        <v>126</v>
      </c>
    </row>
    <row r="355" spans="1:7" x14ac:dyDescent="0.25">
      <c r="A355" t="s">
        <v>23</v>
      </c>
      <c r="B355" t="s">
        <v>29</v>
      </c>
      <c r="C355" t="s">
        <v>30</v>
      </c>
      <c r="D355" s="7">
        <v>45837</v>
      </c>
      <c r="E355" t="s">
        <v>130</v>
      </c>
      <c r="F355" s="8">
        <v>1379680</v>
      </c>
      <c r="G355" t="s">
        <v>126</v>
      </c>
    </row>
    <row r="356" spans="1:7" x14ac:dyDescent="0.25">
      <c r="A356" t="s">
        <v>23</v>
      </c>
      <c r="B356" t="s">
        <v>24</v>
      </c>
      <c r="C356" t="s">
        <v>25</v>
      </c>
      <c r="D356" s="7">
        <v>45839</v>
      </c>
      <c r="E356" t="s">
        <v>96</v>
      </c>
      <c r="F356" s="8">
        <v>362000.4</v>
      </c>
      <c r="G356" t="s">
        <v>126</v>
      </c>
    </row>
    <row r="357" spans="1:7" x14ac:dyDescent="0.25">
      <c r="A357" t="s">
        <v>23</v>
      </c>
      <c r="B357" t="s">
        <v>24</v>
      </c>
      <c r="C357" t="s">
        <v>25</v>
      </c>
      <c r="D357" s="7">
        <v>45846</v>
      </c>
      <c r="E357" t="s">
        <v>96</v>
      </c>
      <c r="F357" s="8">
        <v>371622</v>
      </c>
      <c r="G357" t="s">
        <v>126</v>
      </c>
    </row>
    <row r="358" spans="1:7" x14ac:dyDescent="0.25">
      <c r="A358" t="s">
        <v>23</v>
      </c>
      <c r="B358" t="s">
        <v>29</v>
      </c>
      <c r="C358" t="s">
        <v>30</v>
      </c>
      <c r="D358" s="7">
        <v>45848</v>
      </c>
      <c r="E358" t="s">
        <v>135</v>
      </c>
      <c r="F358" s="8">
        <v>1600248</v>
      </c>
      <c r="G358" t="s">
        <v>126</v>
      </c>
    </row>
    <row r="359" spans="1:7" x14ac:dyDescent="0.25">
      <c r="A359" t="s">
        <v>23</v>
      </c>
      <c r="B359" t="s">
        <v>29</v>
      </c>
      <c r="C359" t="s">
        <v>30</v>
      </c>
      <c r="D359" s="7">
        <v>45850</v>
      </c>
      <c r="E359" t="s">
        <v>136</v>
      </c>
      <c r="F359" s="8">
        <v>336648</v>
      </c>
      <c r="G359" t="s">
        <v>126</v>
      </c>
    </row>
    <row r="360" spans="1:7" x14ac:dyDescent="0.25">
      <c r="A360" t="s">
        <v>23</v>
      </c>
      <c r="B360" t="s">
        <v>29</v>
      </c>
      <c r="C360" t="s">
        <v>30</v>
      </c>
      <c r="D360" s="7">
        <v>45850</v>
      </c>
      <c r="E360" t="s">
        <v>75</v>
      </c>
      <c r="F360" s="8">
        <v>952380.3</v>
      </c>
      <c r="G360" t="s">
        <v>126</v>
      </c>
    </row>
    <row r="361" spans="1:7" x14ac:dyDescent="0.25">
      <c r="A361" t="s">
        <v>23</v>
      </c>
      <c r="B361" t="s">
        <v>24</v>
      </c>
      <c r="C361" t="s">
        <v>25</v>
      </c>
      <c r="D361" s="7">
        <v>45852</v>
      </c>
      <c r="E361" t="s">
        <v>114</v>
      </c>
      <c r="F361" s="8">
        <v>179775</v>
      </c>
      <c r="G361" t="s">
        <v>126</v>
      </c>
    </row>
    <row r="362" spans="1:7" x14ac:dyDescent="0.25">
      <c r="A362" t="s">
        <v>23</v>
      </c>
      <c r="B362" t="s">
        <v>24</v>
      </c>
      <c r="C362" t="s">
        <v>25</v>
      </c>
      <c r="D362" s="7">
        <v>45852</v>
      </c>
      <c r="E362" t="s">
        <v>96</v>
      </c>
      <c r="F362" s="8">
        <v>245520</v>
      </c>
      <c r="G362" t="s">
        <v>126</v>
      </c>
    </row>
    <row r="363" spans="1:7" x14ac:dyDescent="0.25">
      <c r="A363" t="s">
        <v>23</v>
      </c>
      <c r="B363" t="s">
        <v>24</v>
      </c>
      <c r="C363" t="s">
        <v>25</v>
      </c>
      <c r="D363" s="7">
        <v>45855</v>
      </c>
      <c r="E363" t="s">
        <v>39</v>
      </c>
      <c r="F363" s="8">
        <v>348666.5</v>
      </c>
      <c r="G363" t="s">
        <v>126</v>
      </c>
    </row>
    <row r="364" spans="1:7" x14ac:dyDescent="0.25">
      <c r="A364" t="s">
        <v>23</v>
      </c>
      <c r="B364" t="s">
        <v>24</v>
      </c>
      <c r="C364" t="s">
        <v>25</v>
      </c>
      <c r="D364" s="7">
        <v>45864</v>
      </c>
      <c r="E364" t="s">
        <v>90</v>
      </c>
      <c r="F364" s="8">
        <v>973817</v>
      </c>
      <c r="G364" t="s">
        <v>126</v>
      </c>
    </row>
    <row r="365" spans="1:7" x14ac:dyDescent="0.25">
      <c r="A365" t="s">
        <v>23</v>
      </c>
      <c r="B365" t="s">
        <v>24</v>
      </c>
      <c r="C365" t="s">
        <v>25</v>
      </c>
      <c r="D365" s="7">
        <v>45869</v>
      </c>
      <c r="E365" t="s">
        <v>60</v>
      </c>
      <c r="F365" s="8">
        <v>294763</v>
      </c>
      <c r="G365" t="s">
        <v>126</v>
      </c>
    </row>
    <row r="366" spans="1:7" x14ac:dyDescent="0.25">
      <c r="A366" t="s">
        <v>23</v>
      </c>
      <c r="B366" t="s">
        <v>24</v>
      </c>
      <c r="C366" t="s">
        <v>25</v>
      </c>
      <c r="D366" s="7">
        <v>45873</v>
      </c>
      <c r="E366" t="s">
        <v>122</v>
      </c>
      <c r="F366" s="8">
        <v>101429</v>
      </c>
      <c r="G366" t="s">
        <v>126</v>
      </c>
    </row>
    <row r="367" spans="1:7" x14ac:dyDescent="0.25">
      <c r="A367" t="s">
        <v>23</v>
      </c>
      <c r="B367" t="s">
        <v>24</v>
      </c>
      <c r="C367" t="s">
        <v>30</v>
      </c>
      <c r="D367" s="7">
        <v>45876</v>
      </c>
      <c r="E367" t="s">
        <v>113</v>
      </c>
      <c r="F367" s="8">
        <v>1169500</v>
      </c>
      <c r="G367" t="s">
        <v>126</v>
      </c>
    </row>
    <row r="368" spans="1:7" x14ac:dyDescent="0.25">
      <c r="A368" t="s">
        <v>23</v>
      </c>
      <c r="B368" t="s">
        <v>24</v>
      </c>
      <c r="C368" t="s">
        <v>25</v>
      </c>
      <c r="D368" s="7">
        <v>45876</v>
      </c>
      <c r="E368" t="s">
        <v>114</v>
      </c>
      <c r="F368" s="8">
        <v>215714.5</v>
      </c>
      <c r="G368" t="s">
        <v>126</v>
      </c>
    </row>
    <row r="369" spans="1:7" x14ac:dyDescent="0.25">
      <c r="A369" t="s">
        <v>23</v>
      </c>
      <c r="B369" t="s">
        <v>24</v>
      </c>
      <c r="C369" t="s">
        <v>25</v>
      </c>
      <c r="D369" s="7">
        <v>45876</v>
      </c>
      <c r="E369" t="s">
        <v>96</v>
      </c>
      <c r="F369" s="8">
        <v>130952.5</v>
      </c>
      <c r="G369" t="s">
        <v>126</v>
      </c>
    </row>
    <row r="370" spans="1:7" x14ac:dyDescent="0.25">
      <c r="A370" t="s">
        <v>23</v>
      </c>
      <c r="B370" t="s">
        <v>29</v>
      </c>
      <c r="C370" t="s">
        <v>30</v>
      </c>
      <c r="D370" s="7">
        <v>45876</v>
      </c>
      <c r="E370" t="s">
        <v>49</v>
      </c>
      <c r="F370" s="8">
        <v>438095.24</v>
      </c>
      <c r="G370" t="s">
        <v>126</v>
      </c>
    </row>
    <row r="371" spans="1:7" x14ac:dyDescent="0.25">
      <c r="A371" t="s">
        <v>23</v>
      </c>
      <c r="B371" t="s">
        <v>24</v>
      </c>
      <c r="C371" t="s">
        <v>25</v>
      </c>
      <c r="D371" s="7">
        <v>45881</v>
      </c>
      <c r="E371" t="s">
        <v>131</v>
      </c>
      <c r="F371" s="8">
        <v>26000</v>
      </c>
      <c r="G371" t="s">
        <v>126</v>
      </c>
    </row>
    <row r="372" spans="1:7" x14ac:dyDescent="0.25">
      <c r="A372" t="s">
        <v>23</v>
      </c>
      <c r="B372" t="s">
        <v>24</v>
      </c>
      <c r="C372" t="s">
        <v>25</v>
      </c>
      <c r="D372" s="7">
        <v>45890</v>
      </c>
      <c r="E372" t="s">
        <v>137</v>
      </c>
      <c r="F372" s="8">
        <v>84762.1</v>
      </c>
      <c r="G372" t="s">
        <v>126</v>
      </c>
    </row>
    <row r="373" spans="1:7" x14ac:dyDescent="0.25">
      <c r="A373" t="s">
        <v>23</v>
      </c>
      <c r="B373" t="s">
        <v>29</v>
      </c>
      <c r="C373" t="s">
        <v>30</v>
      </c>
      <c r="D373" s="7">
        <v>45890</v>
      </c>
      <c r="E373" t="s">
        <v>135</v>
      </c>
      <c r="F373" s="8">
        <v>1071440</v>
      </c>
      <c r="G373" t="s">
        <v>126</v>
      </c>
    </row>
    <row r="374" spans="1:7" x14ac:dyDescent="0.25">
      <c r="A374" t="s">
        <v>23</v>
      </c>
      <c r="B374" t="s">
        <v>24</v>
      </c>
      <c r="C374" t="s">
        <v>25</v>
      </c>
      <c r="D374" s="7">
        <v>45895</v>
      </c>
      <c r="E374" t="s">
        <v>114</v>
      </c>
      <c r="F374" s="8">
        <v>384095.25</v>
      </c>
      <c r="G374" t="s">
        <v>126</v>
      </c>
    </row>
    <row r="375" spans="1:7" x14ac:dyDescent="0.25">
      <c r="A375" t="s">
        <v>23</v>
      </c>
      <c r="B375" t="s">
        <v>24</v>
      </c>
      <c r="C375" t="s">
        <v>25</v>
      </c>
      <c r="D375" s="7">
        <v>45896</v>
      </c>
      <c r="E375" t="s">
        <v>125</v>
      </c>
      <c r="F375" s="8">
        <v>284762</v>
      </c>
      <c r="G375" t="s">
        <v>126</v>
      </c>
    </row>
    <row r="376" spans="1:7" x14ac:dyDescent="0.25">
      <c r="A376" t="s">
        <v>23</v>
      </c>
      <c r="B376" t="s">
        <v>29</v>
      </c>
      <c r="C376" t="s">
        <v>30</v>
      </c>
      <c r="D376" s="7">
        <v>45897</v>
      </c>
      <c r="E376" t="s">
        <v>138</v>
      </c>
      <c r="F376" s="8">
        <v>3428654.81</v>
      </c>
      <c r="G376" t="s">
        <v>126</v>
      </c>
    </row>
    <row r="377" spans="1:7" x14ac:dyDescent="0.25">
      <c r="A377" t="s">
        <v>23</v>
      </c>
      <c r="B377" t="s">
        <v>24</v>
      </c>
      <c r="C377" t="s">
        <v>25</v>
      </c>
      <c r="D377" s="7">
        <v>45905</v>
      </c>
      <c r="E377" t="s">
        <v>139</v>
      </c>
      <c r="F377" s="8">
        <v>190476.19</v>
      </c>
      <c r="G377" t="s">
        <v>126</v>
      </c>
    </row>
    <row r="378" spans="1:7" x14ac:dyDescent="0.25">
      <c r="A378" t="s">
        <v>23</v>
      </c>
      <c r="B378" t="s">
        <v>24</v>
      </c>
      <c r="C378" t="s">
        <v>25</v>
      </c>
      <c r="D378" s="7">
        <v>45908</v>
      </c>
      <c r="E378" t="s">
        <v>140</v>
      </c>
      <c r="F378" s="8">
        <v>569047.61</v>
      </c>
      <c r="G378" t="s">
        <v>126</v>
      </c>
    </row>
    <row r="379" spans="1:7" x14ac:dyDescent="0.25">
      <c r="A379" t="s">
        <v>23</v>
      </c>
      <c r="B379" t="s">
        <v>24</v>
      </c>
      <c r="C379" t="s">
        <v>25</v>
      </c>
      <c r="D379" s="7">
        <v>45909</v>
      </c>
      <c r="E379" t="s">
        <v>131</v>
      </c>
      <c r="F379" s="8">
        <v>49142.9</v>
      </c>
      <c r="G379" t="s">
        <v>126</v>
      </c>
    </row>
    <row r="380" spans="1:7" x14ac:dyDescent="0.25">
      <c r="A380" t="s">
        <v>23</v>
      </c>
      <c r="B380" t="s">
        <v>24</v>
      </c>
      <c r="C380" t="s">
        <v>25</v>
      </c>
      <c r="D380" s="7">
        <v>45909</v>
      </c>
      <c r="E380" t="s">
        <v>131</v>
      </c>
      <c r="F380" s="8">
        <v>48809.599999999999</v>
      </c>
      <c r="G380" t="s">
        <v>126</v>
      </c>
    </row>
    <row r="381" spans="1:7" x14ac:dyDescent="0.25">
      <c r="A381" t="s">
        <v>23</v>
      </c>
      <c r="B381" t="s">
        <v>24</v>
      </c>
      <c r="C381" t="s">
        <v>25</v>
      </c>
      <c r="D381" s="7">
        <v>45910</v>
      </c>
      <c r="E381" t="s">
        <v>96</v>
      </c>
      <c r="F381" s="8">
        <v>550952.4</v>
      </c>
      <c r="G381" t="s">
        <v>126</v>
      </c>
    </row>
    <row r="382" spans="1:7" x14ac:dyDescent="0.25">
      <c r="A382" t="s">
        <v>23</v>
      </c>
      <c r="B382" t="s">
        <v>24</v>
      </c>
      <c r="C382" t="s">
        <v>25</v>
      </c>
      <c r="D382" s="7">
        <v>45912</v>
      </c>
      <c r="E382" t="s">
        <v>96</v>
      </c>
      <c r="F382" s="8">
        <v>369047.62</v>
      </c>
      <c r="G382" t="s">
        <v>126</v>
      </c>
    </row>
    <row r="383" spans="1:7" x14ac:dyDescent="0.25">
      <c r="A383" t="s">
        <v>23</v>
      </c>
      <c r="B383" t="s">
        <v>24</v>
      </c>
      <c r="C383" t="s">
        <v>25</v>
      </c>
      <c r="D383" s="7">
        <v>45918</v>
      </c>
      <c r="E383" t="s">
        <v>99</v>
      </c>
      <c r="F383" s="8">
        <v>412571.8</v>
      </c>
      <c r="G383" t="s">
        <v>126</v>
      </c>
    </row>
    <row r="384" spans="1:7" x14ac:dyDescent="0.25">
      <c r="A384" t="s">
        <v>23</v>
      </c>
      <c r="B384" t="s">
        <v>24</v>
      </c>
      <c r="C384" t="s">
        <v>25</v>
      </c>
      <c r="D384" s="7">
        <v>45922</v>
      </c>
      <c r="E384" t="s">
        <v>97</v>
      </c>
      <c r="F384" s="8">
        <v>149285.70000000001</v>
      </c>
      <c r="G384" t="s">
        <v>126</v>
      </c>
    </row>
    <row r="385" spans="1:7" x14ac:dyDescent="0.25">
      <c r="A385" t="s">
        <v>23</v>
      </c>
      <c r="B385" t="s">
        <v>24</v>
      </c>
      <c r="C385" t="s">
        <v>25</v>
      </c>
      <c r="D385" s="7">
        <v>45922</v>
      </c>
      <c r="E385" t="s">
        <v>136</v>
      </c>
      <c r="F385" s="8">
        <v>399990.64</v>
      </c>
      <c r="G385" t="s">
        <v>126</v>
      </c>
    </row>
    <row r="386" spans="1:7" x14ac:dyDescent="0.25">
      <c r="A386" t="s">
        <v>23</v>
      </c>
      <c r="B386" t="s">
        <v>29</v>
      </c>
      <c r="C386" t="s">
        <v>25</v>
      </c>
      <c r="D386" s="7">
        <v>45922</v>
      </c>
      <c r="E386" t="s">
        <v>141</v>
      </c>
      <c r="F386" s="8">
        <v>51900</v>
      </c>
      <c r="G386" t="s">
        <v>126</v>
      </c>
    </row>
    <row r="387" spans="1:7" x14ac:dyDescent="0.25">
      <c r="A387" t="s">
        <v>23</v>
      </c>
      <c r="B387" t="s">
        <v>24</v>
      </c>
      <c r="C387" t="s">
        <v>25</v>
      </c>
      <c r="D387" s="7">
        <v>45924</v>
      </c>
      <c r="E387" t="s">
        <v>142</v>
      </c>
      <c r="F387" s="8">
        <v>174190.47</v>
      </c>
      <c r="G387" t="s">
        <v>126</v>
      </c>
    </row>
    <row r="388" spans="1:7" x14ac:dyDescent="0.25">
      <c r="A388" t="s">
        <v>23</v>
      </c>
      <c r="B388" t="s">
        <v>24</v>
      </c>
      <c r="C388" t="s">
        <v>25</v>
      </c>
      <c r="D388" s="7">
        <v>45927</v>
      </c>
      <c r="E388" t="s">
        <v>104</v>
      </c>
      <c r="F388" s="8">
        <v>538095.24</v>
      </c>
      <c r="G388" t="s">
        <v>126</v>
      </c>
    </row>
    <row r="389" spans="1:7" x14ac:dyDescent="0.25">
      <c r="A389" t="s">
        <v>23</v>
      </c>
      <c r="B389" t="s">
        <v>24</v>
      </c>
      <c r="C389" t="s">
        <v>25</v>
      </c>
      <c r="D389" s="7">
        <v>45928</v>
      </c>
      <c r="E389" t="s">
        <v>96</v>
      </c>
      <c r="F389" s="8">
        <v>221666.9</v>
      </c>
      <c r="G389" t="s">
        <v>126</v>
      </c>
    </row>
    <row r="390" spans="1:7" x14ac:dyDescent="0.25">
      <c r="A390" t="s">
        <v>23</v>
      </c>
      <c r="B390" t="s">
        <v>24</v>
      </c>
      <c r="C390" t="s">
        <v>25</v>
      </c>
      <c r="D390" s="7">
        <v>45933</v>
      </c>
      <c r="E390" t="s">
        <v>122</v>
      </c>
      <c r="F390" s="8">
        <v>189046</v>
      </c>
      <c r="G390" t="s">
        <v>126</v>
      </c>
    </row>
    <row r="391" spans="1:7" x14ac:dyDescent="0.25">
      <c r="A391" t="s">
        <v>23</v>
      </c>
      <c r="B391" t="s">
        <v>29</v>
      </c>
      <c r="C391" t="s">
        <v>30</v>
      </c>
      <c r="D391" s="7">
        <v>45936</v>
      </c>
      <c r="E391" t="s">
        <v>143</v>
      </c>
      <c r="F391" s="8">
        <v>1051871.5</v>
      </c>
      <c r="G391" t="s">
        <v>126</v>
      </c>
    </row>
    <row r="392" spans="1:7" x14ac:dyDescent="0.25">
      <c r="A392" t="s">
        <v>23</v>
      </c>
      <c r="B392" t="s">
        <v>24</v>
      </c>
      <c r="C392" t="s">
        <v>25</v>
      </c>
      <c r="D392" s="7">
        <v>45939</v>
      </c>
      <c r="E392" t="s">
        <v>96</v>
      </c>
      <c r="F392" s="8">
        <v>219809.66</v>
      </c>
      <c r="G392" t="s">
        <v>126</v>
      </c>
    </row>
    <row r="393" spans="1:7" x14ac:dyDescent="0.25">
      <c r="A393" t="s">
        <v>23</v>
      </c>
      <c r="B393" t="s">
        <v>24</v>
      </c>
      <c r="C393" t="s">
        <v>25</v>
      </c>
      <c r="D393" s="7">
        <v>45943</v>
      </c>
      <c r="E393" t="s">
        <v>104</v>
      </c>
      <c r="F393" s="8">
        <v>507142.9</v>
      </c>
      <c r="G393" t="s">
        <v>126</v>
      </c>
    </row>
    <row r="394" spans="1:7" x14ac:dyDescent="0.25">
      <c r="A394" t="s">
        <v>23</v>
      </c>
      <c r="B394" t="s">
        <v>24</v>
      </c>
      <c r="C394" t="s">
        <v>25</v>
      </c>
      <c r="D394" s="7">
        <v>45944</v>
      </c>
      <c r="E394" t="s">
        <v>99</v>
      </c>
      <c r="F394" s="8">
        <v>460460</v>
      </c>
      <c r="G394" t="s">
        <v>126</v>
      </c>
    </row>
    <row r="395" spans="1:7" x14ac:dyDescent="0.25">
      <c r="A395" t="s">
        <v>23</v>
      </c>
      <c r="B395" t="s">
        <v>29</v>
      </c>
      <c r="C395" t="s">
        <v>30</v>
      </c>
      <c r="D395" s="7">
        <v>45947</v>
      </c>
      <c r="E395" t="s">
        <v>135</v>
      </c>
      <c r="F395" s="8">
        <v>473212.59</v>
      </c>
      <c r="G395" t="s">
        <v>126</v>
      </c>
    </row>
    <row r="396" spans="1:7" x14ac:dyDescent="0.25">
      <c r="A396" t="s">
        <v>23</v>
      </c>
      <c r="B396" t="s">
        <v>29</v>
      </c>
      <c r="C396" t="s">
        <v>25</v>
      </c>
      <c r="D396" s="7">
        <v>45965</v>
      </c>
      <c r="E396" t="s">
        <v>103</v>
      </c>
      <c r="F396" s="8">
        <v>247620</v>
      </c>
      <c r="G396" t="s">
        <v>126</v>
      </c>
    </row>
    <row r="397" spans="1:7" x14ac:dyDescent="0.25">
      <c r="A397" t="s">
        <v>23</v>
      </c>
      <c r="B397" t="s">
        <v>24</v>
      </c>
      <c r="C397" t="s">
        <v>25</v>
      </c>
      <c r="D397" s="7">
        <v>45968</v>
      </c>
      <c r="E397" t="s">
        <v>122</v>
      </c>
      <c r="F397" s="8">
        <v>73330</v>
      </c>
      <c r="G397" t="s">
        <v>126</v>
      </c>
    </row>
    <row r="398" spans="1:7" x14ac:dyDescent="0.25">
      <c r="A398" t="s">
        <v>23</v>
      </c>
      <c r="B398" t="s">
        <v>24</v>
      </c>
      <c r="C398" t="s">
        <v>25</v>
      </c>
      <c r="D398" s="7">
        <v>45972</v>
      </c>
      <c r="E398" t="s">
        <v>144</v>
      </c>
      <c r="F398" s="8">
        <v>74762</v>
      </c>
      <c r="G398" t="s">
        <v>126</v>
      </c>
    </row>
    <row r="399" spans="1:7" x14ac:dyDescent="0.25">
      <c r="A399" t="s">
        <v>23</v>
      </c>
      <c r="B399" t="s">
        <v>24</v>
      </c>
      <c r="C399" t="s">
        <v>25</v>
      </c>
      <c r="D399" s="7">
        <v>45980</v>
      </c>
      <c r="E399" t="s">
        <v>90</v>
      </c>
      <c r="F399" s="8">
        <v>1798191.6</v>
      </c>
      <c r="G399" t="s">
        <v>126</v>
      </c>
    </row>
    <row r="400" spans="1:7" x14ac:dyDescent="0.25">
      <c r="A400" t="s">
        <v>23</v>
      </c>
      <c r="B400" t="s">
        <v>24</v>
      </c>
      <c r="C400" t="s">
        <v>25</v>
      </c>
      <c r="D400" s="7">
        <v>45986</v>
      </c>
      <c r="E400" t="s">
        <v>123</v>
      </c>
      <c r="F400" s="8">
        <v>1041428.56</v>
      </c>
      <c r="G400" t="s">
        <v>126</v>
      </c>
    </row>
    <row r="401" spans="1:7" x14ac:dyDescent="0.25">
      <c r="A401" t="s">
        <v>23</v>
      </c>
      <c r="B401" t="s">
        <v>24</v>
      </c>
      <c r="C401" t="s">
        <v>25</v>
      </c>
      <c r="D401" s="7">
        <v>45999</v>
      </c>
      <c r="E401" t="s">
        <v>122</v>
      </c>
      <c r="F401" s="8">
        <v>143953.20000000001</v>
      </c>
      <c r="G401" t="s">
        <v>126</v>
      </c>
    </row>
    <row r="402" spans="1:7" x14ac:dyDescent="0.25">
      <c r="A402" t="s">
        <v>23</v>
      </c>
      <c r="B402" t="s">
        <v>24</v>
      </c>
      <c r="C402" t="s">
        <v>25</v>
      </c>
      <c r="D402" s="7">
        <v>46006</v>
      </c>
      <c r="E402" t="s">
        <v>97</v>
      </c>
      <c r="F402" s="8">
        <v>140667</v>
      </c>
      <c r="G402" t="s">
        <v>126</v>
      </c>
    </row>
    <row r="403" spans="1:7" x14ac:dyDescent="0.25">
      <c r="A403" t="s">
        <v>23</v>
      </c>
      <c r="B403" t="s">
        <v>24</v>
      </c>
      <c r="C403" t="s">
        <v>25</v>
      </c>
      <c r="D403" s="7">
        <v>46014</v>
      </c>
      <c r="E403" t="s">
        <v>145</v>
      </c>
      <c r="F403" s="8">
        <v>320665</v>
      </c>
      <c r="G403" t="s">
        <v>126</v>
      </c>
    </row>
    <row r="404" spans="1:7" x14ac:dyDescent="0.25">
      <c r="A404" t="s">
        <v>23</v>
      </c>
      <c r="B404" t="s">
        <v>29</v>
      </c>
      <c r="C404" t="s">
        <v>25</v>
      </c>
      <c r="D404" s="7">
        <v>46020</v>
      </c>
      <c r="E404" t="s">
        <v>113</v>
      </c>
      <c r="F404" s="8">
        <v>285714</v>
      </c>
      <c r="G404" t="s">
        <v>126</v>
      </c>
    </row>
    <row r="405" spans="1:7" x14ac:dyDescent="0.25">
      <c r="A405" t="s">
        <v>23</v>
      </c>
      <c r="B405" t="s">
        <v>24</v>
      </c>
      <c r="C405" t="s">
        <v>25</v>
      </c>
      <c r="D405" s="7">
        <v>46022</v>
      </c>
      <c r="E405" t="s">
        <v>144</v>
      </c>
      <c r="F405" s="8">
        <v>77085.72</v>
      </c>
      <c r="G405" t="s">
        <v>126</v>
      </c>
    </row>
    <row r="406" spans="1:7" x14ac:dyDescent="0.25">
      <c r="A406" t="s">
        <v>23</v>
      </c>
      <c r="B406" t="s">
        <v>29</v>
      </c>
      <c r="C406" t="s">
        <v>30</v>
      </c>
      <c r="D406" s="7">
        <v>46022</v>
      </c>
      <c r="E406" t="s">
        <v>120</v>
      </c>
      <c r="F406" s="8">
        <v>661904.76</v>
      </c>
      <c r="G406" t="s">
        <v>126</v>
      </c>
    </row>
    <row r="407" spans="1:7" x14ac:dyDescent="0.25">
      <c r="A407" t="s">
        <v>23</v>
      </c>
      <c r="B407" t="s">
        <v>24</v>
      </c>
      <c r="C407" t="s">
        <v>25</v>
      </c>
      <c r="D407" s="7">
        <v>46030</v>
      </c>
      <c r="E407" t="s">
        <v>146</v>
      </c>
      <c r="F407" s="8">
        <v>221429</v>
      </c>
      <c r="G407" t="s">
        <v>126</v>
      </c>
    </row>
    <row r="408" spans="1:7" x14ac:dyDescent="0.25">
      <c r="A408" t="s">
        <v>23</v>
      </c>
      <c r="B408" t="s">
        <v>24</v>
      </c>
      <c r="C408" t="s">
        <v>25</v>
      </c>
      <c r="D408" s="7">
        <v>46032</v>
      </c>
      <c r="E408" t="s">
        <v>96</v>
      </c>
      <c r="F408" s="8">
        <v>274857.2</v>
      </c>
      <c r="G408" t="s">
        <v>126</v>
      </c>
    </row>
    <row r="409" spans="1:7" x14ac:dyDescent="0.25">
      <c r="A409" t="s">
        <v>23</v>
      </c>
      <c r="B409" t="s">
        <v>24</v>
      </c>
      <c r="C409" t="s">
        <v>25</v>
      </c>
      <c r="D409" s="7">
        <v>46041</v>
      </c>
      <c r="E409" t="s">
        <v>147</v>
      </c>
      <c r="F409" s="8">
        <v>572857.19999999995</v>
      </c>
      <c r="G409" t="s">
        <v>126</v>
      </c>
    </row>
    <row r="410" spans="1:7" x14ac:dyDescent="0.25">
      <c r="A410" t="s">
        <v>23</v>
      </c>
      <c r="B410" t="s">
        <v>24</v>
      </c>
      <c r="C410" t="s">
        <v>25</v>
      </c>
      <c r="D410" s="7">
        <v>46043</v>
      </c>
      <c r="E410" t="s">
        <v>123</v>
      </c>
      <c r="F410" s="8">
        <v>916250</v>
      </c>
      <c r="G410" t="s">
        <v>126</v>
      </c>
    </row>
    <row r="411" spans="1:7" x14ac:dyDescent="0.25">
      <c r="A411" t="s">
        <v>23</v>
      </c>
      <c r="B411" t="s">
        <v>29</v>
      </c>
      <c r="C411" t="s">
        <v>30</v>
      </c>
      <c r="D411" s="7">
        <v>46043</v>
      </c>
      <c r="E411" t="s">
        <v>148</v>
      </c>
      <c r="F411" s="8">
        <v>4417662.8899999997</v>
      </c>
      <c r="G411" t="s">
        <v>126</v>
      </c>
    </row>
    <row r="412" spans="1:7" x14ac:dyDescent="0.25">
      <c r="A412" t="s">
        <v>23</v>
      </c>
      <c r="B412" t="s">
        <v>24</v>
      </c>
      <c r="C412" t="s">
        <v>25</v>
      </c>
      <c r="D412" s="7">
        <v>46051</v>
      </c>
      <c r="E412" t="s">
        <v>147</v>
      </c>
      <c r="F412" s="8">
        <v>254429</v>
      </c>
      <c r="G412" t="s">
        <v>126</v>
      </c>
    </row>
    <row r="413" spans="1:7" x14ac:dyDescent="0.25">
      <c r="A413" t="s">
        <v>23</v>
      </c>
      <c r="B413" t="s">
        <v>29</v>
      </c>
      <c r="C413" t="s">
        <v>30</v>
      </c>
      <c r="D413" s="7">
        <v>46062</v>
      </c>
      <c r="E413" t="s">
        <v>149</v>
      </c>
      <c r="F413" s="8">
        <v>566666.66</v>
      </c>
      <c r="G413" t="s">
        <v>126</v>
      </c>
    </row>
    <row r="414" spans="1:7" x14ac:dyDescent="0.25">
      <c r="A414" t="s">
        <v>23</v>
      </c>
      <c r="B414" t="s">
        <v>24</v>
      </c>
      <c r="C414" t="s">
        <v>25</v>
      </c>
      <c r="D414" s="7">
        <v>46063</v>
      </c>
      <c r="E414" t="s">
        <v>147</v>
      </c>
      <c r="F414" s="8">
        <v>770857.14</v>
      </c>
      <c r="G414" t="s">
        <v>126</v>
      </c>
    </row>
    <row r="415" spans="1:7" x14ac:dyDescent="0.25">
      <c r="A415" t="s">
        <v>150</v>
      </c>
      <c r="B415" t="s">
        <v>24</v>
      </c>
      <c r="C415" t="s">
        <v>25</v>
      </c>
      <c r="D415" s="7">
        <v>44658</v>
      </c>
      <c r="E415" t="s">
        <v>90</v>
      </c>
      <c r="F415" s="8">
        <v>860769</v>
      </c>
      <c r="G415" t="s">
        <v>27</v>
      </c>
    </row>
    <row r="416" spans="1:7" x14ac:dyDescent="0.25">
      <c r="A416" t="s">
        <v>150</v>
      </c>
      <c r="B416" t="s">
        <v>24</v>
      </c>
      <c r="C416" t="s">
        <v>25</v>
      </c>
      <c r="D416" s="7">
        <v>44671</v>
      </c>
      <c r="E416" t="s">
        <v>90</v>
      </c>
      <c r="F416" s="8">
        <v>1122115</v>
      </c>
      <c r="G416" t="s">
        <v>27</v>
      </c>
    </row>
    <row r="417" spans="1:7" x14ac:dyDescent="0.25">
      <c r="A417" t="s">
        <v>150</v>
      </c>
      <c r="B417" t="s">
        <v>29</v>
      </c>
      <c r="C417" t="s">
        <v>30</v>
      </c>
      <c r="D417" s="7">
        <v>44676</v>
      </c>
      <c r="E417" t="s">
        <v>151</v>
      </c>
      <c r="F417" s="8">
        <v>438095.24</v>
      </c>
      <c r="G417" t="s">
        <v>27</v>
      </c>
    </row>
    <row r="418" spans="1:7" x14ac:dyDescent="0.25">
      <c r="A418" t="s">
        <v>150</v>
      </c>
      <c r="B418" t="s">
        <v>29</v>
      </c>
      <c r="C418" t="s">
        <v>30</v>
      </c>
      <c r="D418" s="7">
        <v>44678</v>
      </c>
      <c r="E418" t="s">
        <v>46</v>
      </c>
      <c r="F418" s="8">
        <v>2770607.64</v>
      </c>
      <c r="G418" t="s">
        <v>27</v>
      </c>
    </row>
    <row r="419" spans="1:7" x14ac:dyDescent="0.25">
      <c r="A419" t="s">
        <v>150</v>
      </c>
      <c r="B419" t="s">
        <v>29</v>
      </c>
      <c r="C419" t="s">
        <v>30</v>
      </c>
      <c r="D419" s="7">
        <v>44678</v>
      </c>
      <c r="E419" t="s">
        <v>46</v>
      </c>
      <c r="F419" s="8">
        <v>3420771.96</v>
      </c>
      <c r="G419" t="s">
        <v>27</v>
      </c>
    </row>
    <row r="420" spans="1:7" x14ac:dyDescent="0.25">
      <c r="A420" t="s">
        <v>150</v>
      </c>
      <c r="B420" t="s">
        <v>29</v>
      </c>
      <c r="C420" t="s">
        <v>30</v>
      </c>
      <c r="D420" s="7">
        <v>44678</v>
      </c>
      <c r="E420" t="s">
        <v>46</v>
      </c>
      <c r="F420" s="8">
        <v>251799.86</v>
      </c>
      <c r="G420" t="s">
        <v>27</v>
      </c>
    </row>
    <row r="421" spans="1:7" x14ac:dyDescent="0.25">
      <c r="A421" t="s">
        <v>150</v>
      </c>
      <c r="B421" t="s">
        <v>29</v>
      </c>
      <c r="C421" t="s">
        <v>30</v>
      </c>
      <c r="D421" s="7">
        <v>44678</v>
      </c>
      <c r="E421" t="s">
        <v>46</v>
      </c>
      <c r="F421" s="8">
        <v>2966187.64</v>
      </c>
      <c r="G421" t="s">
        <v>27</v>
      </c>
    </row>
    <row r="422" spans="1:7" x14ac:dyDescent="0.25">
      <c r="A422" t="s">
        <v>150</v>
      </c>
      <c r="B422" t="s">
        <v>29</v>
      </c>
      <c r="C422" t="s">
        <v>30</v>
      </c>
      <c r="D422" s="7">
        <v>44678</v>
      </c>
      <c r="E422" t="s">
        <v>46</v>
      </c>
      <c r="F422" s="8">
        <v>2840995.8</v>
      </c>
      <c r="G422" t="s">
        <v>27</v>
      </c>
    </row>
    <row r="423" spans="1:7" x14ac:dyDescent="0.25">
      <c r="A423" t="s">
        <v>150</v>
      </c>
      <c r="B423" t="s">
        <v>29</v>
      </c>
      <c r="C423" t="s">
        <v>30</v>
      </c>
      <c r="D423" s="7">
        <v>44687</v>
      </c>
      <c r="E423" t="s">
        <v>47</v>
      </c>
      <c r="F423" s="8">
        <v>468914</v>
      </c>
      <c r="G423" t="s">
        <v>27</v>
      </c>
    </row>
    <row r="424" spans="1:7" x14ac:dyDescent="0.25">
      <c r="A424" t="s">
        <v>150</v>
      </c>
      <c r="B424" t="s">
        <v>24</v>
      </c>
      <c r="C424" t="s">
        <v>25</v>
      </c>
      <c r="D424" s="7">
        <v>44690</v>
      </c>
      <c r="E424" t="s">
        <v>90</v>
      </c>
      <c r="F424" s="8">
        <v>780618</v>
      </c>
      <c r="G424" t="s">
        <v>27</v>
      </c>
    </row>
    <row r="425" spans="1:7" x14ac:dyDescent="0.25">
      <c r="A425" t="s">
        <v>150</v>
      </c>
      <c r="B425" t="s">
        <v>29</v>
      </c>
      <c r="C425" t="s">
        <v>30</v>
      </c>
      <c r="D425" s="7">
        <v>44691</v>
      </c>
      <c r="E425" t="s">
        <v>152</v>
      </c>
      <c r="F425" s="8">
        <v>14578</v>
      </c>
      <c r="G425" t="s">
        <v>27</v>
      </c>
    </row>
    <row r="426" spans="1:7" x14ac:dyDescent="0.25">
      <c r="A426" t="s">
        <v>150</v>
      </c>
      <c r="B426" t="s">
        <v>24</v>
      </c>
      <c r="C426" t="s">
        <v>25</v>
      </c>
      <c r="D426" s="7">
        <v>44698</v>
      </c>
      <c r="E426" t="s">
        <v>90</v>
      </c>
      <c r="F426" s="8">
        <v>1559356</v>
      </c>
      <c r="G426" t="s">
        <v>27</v>
      </c>
    </row>
    <row r="427" spans="1:7" x14ac:dyDescent="0.25">
      <c r="A427" t="s">
        <v>150</v>
      </c>
      <c r="B427" t="s">
        <v>29</v>
      </c>
      <c r="C427" t="s">
        <v>30</v>
      </c>
      <c r="D427" s="7">
        <v>44700</v>
      </c>
      <c r="E427" t="s">
        <v>153</v>
      </c>
      <c r="F427" s="8">
        <v>1611430</v>
      </c>
      <c r="G427" t="s">
        <v>27</v>
      </c>
    </row>
    <row r="428" spans="1:7" x14ac:dyDescent="0.25">
      <c r="A428" t="s">
        <v>150</v>
      </c>
      <c r="B428" t="s">
        <v>24</v>
      </c>
      <c r="C428" t="s">
        <v>25</v>
      </c>
      <c r="D428" s="7">
        <v>44701</v>
      </c>
      <c r="E428" t="s">
        <v>154</v>
      </c>
      <c r="F428" s="8">
        <v>1427800</v>
      </c>
      <c r="G428" t="s">
        <v>27</v>
      </c>
    </row>
    <row r="429" spans="1:7" x14ac:dyDescent="0.25">
      <c r="A429" t="s">
        <v>150</v>
      </c>
      <c r="B429" t="s">
        <v>24</v>
      </c>
      <c r="C429" t="s">
        <v>25</v>
      </c>
      <c r="D429" s="7">
        <v>44701</v>
      </c>
      <c r="E429" t="s">
        <v>74</v>
      </c>
      <c r="F429" s="8">
        <v>3666260</v>
      </c>
      <c r="G429" t="s">
        <v>27</v>
      </c>
    </row>
    <row r="430" spans="1:7" x14ac:dyDescent="0.25">
      <c r="A430" t="s">
        <v>150</v>
      </c>
      <c r="B430" t="s">
        <v>24</v>
      </c>
      <c r="C430" t="s">
        <v>25</v>
      </c>
      <c r="D430" s="7">
        <v>44701</v>
      </c>
      <c r="E430" t="s">
        <v>42</v>
      </c>
      <c r="F430" s="8">
        <v>577020</v>
      </c>
      <c r="G430" t="s">
        <v>27</v>
      </c>
    </row>
    <row r="431" spans="1:7" x14ac:dyDescent="0.25">
      <c r="A431" t="s">
        <v>150</v>
      </c>
      <c r="B431" t="s">
        <v>24</v>
      </c>
      <c r="C431" t="s">
        <v>25</v>
      </c>
      <c r="D431" s="7">
        <v>44701</v>
      </c>
      <c r="E431" t="s">
        <v>153</v>
      </c>
      <c r="F431" s="8">
        <v>3286000</v>
      </c>
      <c r="G431" t="s">
        <v>27</v>
      </c>
    </row>
    <row r="432" spans="1:7" x14ac:dyDescent="0.25">
      <c r="A432" t="s">
        <v>150</v>
      </c>
      <c r="B432" t="s">
        <v>24</v>
      </c>
      <c r="C432" t="s">
        <v>25</v>
      </c>
      <c r="D432" s="7">
        <v>44701</v>
      </c>
      <c r="E432" t="s">
        <v>155</v>
      </c>
      <c r="F432" s="8">
        <v>1357000</v>
      </c>
      <c r="G432" t="s">
        <v>27</v>
      </c>
    </row>
    <row r="433" spans="1:7" x14ac:dyDescent="0.25">
      <c r="A433" t="s">
        <v>150</v>
      </c>
      <c r="B433" t="s">
        <v>29</v>
      </c>
      <c r="C433" t="s">
        <v>30</v>
      </c>
      <c r="D433" s="7">
        <v>44701</v>
      </c>
      <c r="E433" t="s">
        <v>154</v>
      </c>
      <c r="F433" s="8">
        <v>238100</v>
      </c>
      <c r="G433" t="s">
        <v>27</v>
      </c>
    </row>
    <row r="434" spans="1:7" x14ac:dyDescent="0.25">
      <c r="A434" t="s">
        <v>150</v>
      </c>
      <c r="B434" t="s">
        <v>29</v>
      </c>
      <c r="C434" t="s">
        <v>30</v>
      </c>
      <c r="D434" s="7">
        <v>44712</v>
      </c>
      <c r="E434" t="s">
        <v>156</v>
      </c>
      <c r="F434" s="8">
        <v>666593.04</v>
      </c>
      <c r="G434" t="s">
        <v>27</v>
      </c>
    </row>
    <row r="435" spans="1:7" x14ac:dyDescent="0.25">
      <c r="A435" t="s">
        <v>150</v>
      </c>
      <c r="B435" t="s">
        <v>29</v>
      </c>
      <c r="C435" t="s">
        <v>30</v>
      </c>
      <c r="D435" s="7">
        <v>44722</v>
      </c>
      <c r="E435" t="s">
        <v>46</v>
      </c>
      <c r="F435" s="8">
        <v>3033058.35</v>
      </c>
      <c r="G435" t="s">
        <v>27</v>
      </c>
    </row>
    <row r="436" spans="1:7" x14ac:dyDescent="0.25">
      <c r="A436" t="s">
        <v>150</v>
      </c>
      <c r="B436" t="s">
        <v>29</v>
      </c>
      <c r="C436" t="s">
        <v>30</v>
      </c>
      <c r="D436" s="7">
        <v>44722</v>
      </c>
      <c r="E436" t="s">
        <v>46</v>
      </c>
      <c r="F436" s="8">
        <v>3680842.2</v>
      </c>
      <c r="G436" t="s">
        <v>27</v>
      </c>
    </row>
    <row r="437" spans="1:7" x14ac:dyDescent="0.25">
      <c r="A437" t="s">
        <v>150</v>
      </c>
      <c r="B437" t="s">
        <v>24</v>
      </c>
      <c r="C437" t="s">
        <v>25</v>
      </c>
      <c r="D437" s="7">
        <v>44730</v>
      </c>
      <c r="E437" t="s">
        <v>65</v>
      </c>
      <c r="F437" s="8">
        <v>430100</v>
      </c>
      <c r="G437" t="s">
        <v>27</v>
      </c>
    </row>
    <row r="438" spans="1:7" x14ac:dyDescent="0.25">
      <c r="A438" t="s">
        <v>150</v>
      </c>
      <c r="B438" t="s">
        <v>24</v>
      </c>
      <c r="C438" t="s">
        <v>25</v>
      </c>
      <c r="D438" s="7">
        <v>44741</v>
      </c>
      <c r="E438" t="s">
        <v>153</v>
      </c>
      <c r="F438" s="8">
        <v>477400</v>
      </c>
      <c r="G438" t="s">
        <v>27</v>
      </c>
    </row>
    <row r="439" spans="1:7" x14ac:dyDescent="0.25">
      <c r="A439" t="s">
        <v>150</v>
      </c>
      <c r="B439" t="s">
        <v>24</v>
      </c>
      <c r="C439" t="s">
        <v>25</v>
      </c>
      <c r="D439" s="7">
        <v>44741</v>
      </c>
      <c r="E439" t="s">
        <v>74</v>
      </c>
      <c r="F439" s="8">
        <v>477400</v>
      </c>
      <c r="G439" t="s">
        <v>27</v>
      </c>
    </row>
    <row r="440" spans="1:7" x14ac:dyDescent="0.25">
      <c r="A440" t="s">
        <v>150</v>
      </c>
      <c r="B440" t="s">
        <v>24</v>
      </c>
      <c r="C440" t="s">
        <v>25</v>
      </c>
      <c r="D440" s="7">
        <v>44741</v>
      </c>
      <c r="E440" t="s">
        <v>154</v>
      </c>
      <c r="F440" s="8">
        <v>585280</v>
      </c>
      <c r="G440" t="s">
        <v>27</v>
      </c>
    </row>
    <row r="441" spans="1:7" x14ac:dyDescent="0.25">
      <c r="A441" t="s">
        <v>150</v>
      </c>
      <c r="B441" t="s">
        <v>24</v>
      </c>
      <c r="C441" t="s">
        <v>25</v>
      </c>
      <c r="D441" s="7">
        <v>44741</v>
      </c>
      <c r="E441" t="s">
        <v>42</v>
      </c>
      <c r="F441" s="8">
        <v>217002</v>
      </c>
      <c r="G441" t="s">
        <v>27</v>
      </c>
    </row>
    <row r="442" spans="1:7" x14ac:dyDescent="0.25">
      <c r="A442" t="s">
        <v>150</v>
      </c>
      <c r="B442" t="s">
        <v>24</v>
      </c>
      <c r="C442" t="s">
        <v>25</v>
      </c>
      <c r="D442" s="7">
        <v>44741</v>
      </c>
      <c r="E442" t="s">
        <v>157</v>
      </c>
      <c r="F442" s="8">
        <v>4000000</v>
      </c>
      <c r="G442" t="s">
        <v>27</v>
      </c>
    </row>
    <row r="443" spans="1:7" x14ac:dyDescent="0.25">
      <c r="A443" t="s">
        <v>150</v>
      </c>
      <c r="B443" t="s">
        <v>24</v>
      </c>
      <c r="C443" t="s">
        <v>25</v>
      </c>
      <c r="D443" s="7">
        <v>44748</v>
      </c>
      <c r="E443" t="s">
        <v>90</v>
      </c>
      <c r="F443" s="8">
        <v>826970</v>
      </c>
      <c r="G443" t="s">
        <v>27</v>
      </c>
    </row>
    <row r="444" spans="1:7" x14ac:dyDescent="0.25">
      <c r="A444" t="s">
        <v>150</v>
      </c>
      <c r="B444" t="s">
        <v>24</v>
      </c>
      <c r="C444" t="s">
        <v>25</v>
      </c>
      <c r="D444" s="7">
        <v>44755</v>
      </c>
      <c r="E444" t="s">
        <v>64</v>
      </c>
      <c r="F444" s="8">
        <v>247329</v>
      </c>
      <c r="G444" t="s">
        <v>27</v>
      </c>
    </row>
    <row r="445" spans="1:7" x14ac:dyDescent="0.25">
      <c r="A445" t="s">
        <v>150</v>
      </c>
      <c r="B445" t="s">
        <v>24</v>
      </c>
      <c r="C445" t="s">
        <v>25</v>
      </c>
      <c r="D445" s="7">
        <v>44761</v>
      </c>
      <c r="E445" t="s">
        <v>100</v>
      </c>
      <c r="F445" s="8">
        <v>699000</v>
      </c>
      <c r="G445" t="s">
        <v>27</v>
      </c>
    </row>
    <row r="446" spans="1:7" x14ac:dyDescent="0.25">
      <c r="A446" t="s">
        <v>150</v>
      </c>
      <c r="B446" t="s">
        <v>29</v>
      </c>
      <c r="C446" t="s">
        <v>30</v>
      </c>
      <c r="D446" s="7">
        <v>44761</v>
      </c>
      <c r="E446" t="s">
        <v>153</v>
      </c>
      <c r="F446" s="8">
        <v>935238</v>
      </c>
      <c r="G446" t="s">
        <v>27</v>
      </c>
    </row>
    <row r="447" spans="1:7" x14ac:dyDescent="0.25">
      <c r="A447" t="s">
        <v>150</v>
      </c>
      <c r="B447" t="s">
        <v>29</v>
      </c>
      <c r="C447" t="s">
        <v>30</v>
      </c>
      <c r="D447" s="7">
        <v>44770</v>
      </c>
      <c r="E447" t="s">
        <v>74</v>
      </c>
      <c r="F447" s="8">
        <v>373376</v>
      </c>
      <c r="G447" t="s">
        <v>27</v>
      </c>
    </row>
    <row r="448" spans="1:7" x14ac:dyDescent="0.25">
      <c r="A448" t="s">
        <v>150</v>
      </c>
      <c r="B448" t="s">
        <v>29</v>
      </c>
      <c r="C448" t="s">
        <v>30</v>
      </c>
      <c r="D448" s="7">
        <v>44771</v>
      </c>
      <c r="E448" t="s">
        <v>158</v>
      </c>
      <c r="F448" s="8">
        <v>508190.48</v>
      </c>
      <c r="G448" t="s">
        <v>27</v>
      </c>
    </row>
    <row r="449" spans="1:7" x14ac:dyDescent="0.25">
      <c r="A449" t="s">
        <v>150</v>
      </c>
      <c r="B449" t="s">
        <v>24</v>
      </c>
      <c r="C449" t="s">
        <v>25</v>
      </c>
      <c r="D449" s="7">
        <v>44777</v>
      </c>
      <c r="E449" t="s">
        <v>90</v>
      </c>
      <c r="F449" s="8">
        <v>264369</v>
      </c>
      <c r="G449" t="s">
        <v>27</v>
      </c>
    </row>
    <row r="450" spans="1:7" x14ac:dyDescent="0.25">
      <c r="A450" t="s">
        <v>150</v>
      </c>
      <c r="B450" t="s">
        <v>29</v>
      </c>
      <c r="C450" t="s">
        <v>30</v>
      </c>
      <c r="D450" s="7">
        <v>44777</v>
      </c>
      <c r="E450" t="s">
        <v>158</v>
      </c>
      <c r="F450" s="8">
        <v>230857.14</v>
      </c>
      <c r="G450" t="s">
        <v>27</v>
      </c>
    </row>
    <row r="451" spans="1:7" x14ac:dyDescent="0.25">
      <c r="A451" t="s">
        <v>150</v>
      </c>
      <c r="B451" t="s">
        <v>24</v>
      </c>
      <c r="C451" t="s">
        <v>25</v>
      </c>
      <c r="D451" s="7">
        <v>44795</v>
      </c>
      <c r="E451" t="s">
        <v>55</v>
      </c>
      <c r="F451" s="8">
        <v>684128</v>
      </c>
      <c r="G451" t="s">
        <v>27</v>
      </c>
    </row>
    <row r="452" spans="1:7" x14ac:dyDescent="0.25">
      <c r="A452" t="s">
        <v>150</v>
      </c>
      <c r="B452" t="s">
        <v>24</v>
      </c>
      <c r="C452" t="s">
        <v>25</v>
      </c>
      <c r="D452" s="7">
        <v>44799</v>
      </c>
      <c r="E452" t="s">
        <v>65</v>
      </c>
      <c r="F452" s="8">
        <v>397050</v>
      </c>
      <c r="G452" t="s">
        <v>27</v>
      </c>
    </row>
    <row r="453" spans="1:7" x14ac:dyDescent="0.25">
      <c r="A453" t="s">
        <v>150</v>
      </c>
      <c r="B453" t="s">
        <v>29</v>
      </c>
      <c r="C453" t="s">
        <v>30</v>
      </c>
      <c r="D453" s="7">
        <v>44802</v>
      </c>
      <c r="E453" t="s">
        <v>74</v>
      </c>
      <c r="F453" s="8">
        <v>445720</v>
      </c>
      <c r="G453" t="s">
        <v>27</v>
      </c>
    </row>
    <row r="454" spans="1:7" x14ac:dyDescent="0.25">
      <c r="A454" t="s">
        <v>150</v>
      </c>
      <c r="B454" t="s">
        <v>29</v>
      </c>
      <c r="C454" t="s">
        <v>30</v>
      </c>
      <c r="D454" s="7">
        <v>44802</v>
      </c>
      <c r="E454" t="s">
        <v>159</v>
      </c>
      <c r="F454" s="8">
        <v>476190.5</v>
      </c>
      <c r="G454" t="s">
        <v>27</v>
      </c>
    </row>
    <row r="455" spans="1:7" x14ac:dyDescent="0.25">
      <c r="A455" t="s">
        <v>150</v>
      </c>
      <c r="B455" t="s">
        <v>29</v>
      </c>
      <c r="C455" t="s">
        <v>30</v>
      </c>
      <c r="D455" s="7">
        <v>44802</v>
      </c>
      <c r="E455" t="s">
        <v>160</v>
      </c>
      <c r="F455" s="8">
        <v>401904.75</v>
      </c>
      <c r="G455" t="s">
        <v>27</v>
      </c>
    </row>
    <row r="456" spans="1:7" x14ac:dyDescent="0.25">
      <c r="A456" t="s">
        <v>150</v>
      </c>
      <c r="B456" t="s">
        <v>24</v>
      </c>
      <c r="C456" t="s">
        <v>25</v>
      </c>
      <c r="D456" s="7">
        <v>44803</v>
      </c>
      <c r="E456" t="s">
        <v>155</v>
      </c>
      <c r="F456" s="8">
        <v>259820</v>
      </c>
      <c r="G456" t="s">
        <v>27</v>
      </c>
    </row>
    <row r="457" spans="1:7" x14ac:dyDescent="0.25">
      <c r="A457" t="s">
        <v>150</v>
      </c>
      <c r="B457" t="s">
        <v>29</v>
      </c>
      <c r="C457" t="s">
        <v>30</v>
      </c>
      <c r="D457" s="7">
        <v>44804</v>
      </c>
      <c r="E457" t="s">
        <v>42</v>
      </c>
      <c r="F457" s="8">
        <v>285705</v>
      </c>
      <c r="G457" t="s">
        <v>27</v>
      </c>
    </row>
    <row r="458" spans="1:7" x14ac:dyDescent="0.25">
      <c r="A458" t="s">
        <v>150</v>
      </c>
      <c r="B458" t="s">
        <v>29</v>
      </c>
      <c r="C458" t="s">
        <v>30</v>
      </c>
      <c r="D458" s="7">
        <v>44804</v>
      </c>
      <c r="E458" t="s">
        <v>74</v>
      </c>
      <c r="F458" s="8">
        <v>469526.4</v>
      </c>
      <c r="G458" t="s">
        <v>27</v>
      </c>
    </row>
    <row r="459" spans="1:7" x14ac:dyDescent="0.25">
      <c r="A459" t="s">
        <v>150</v>
      </c>
      <c r="B459" t="s">
        <v>24</v>
      </c>
      <c r="C459" t="s">
        <v>25</v>
      </c>
      <c r="D459" s="7">
        <v>44805</v>
      </c>
      <c r="E459" t="s">
        <v>90</v>
      </c>
      <c r="F459" s="8">
        <v>731936</v>
      </c>
      <c r="G459" t="s">
        <v>27</v>
      </c>
    </row>
    <row r="460" spans="1:7" x14ac:dyDescent="0.25">
      <c r="A460" t="s">
        <v>150</v>
      </c>
      <c r="B460" t="s">
        <v>24</v>
      </c>
      <c r="C460" t="s">
        <v>25</v>
      </c>
      <c r="D460" s="7">
        <v>44813</v>
      </c>
      <c r="E460" t="s">
        <v>59</v>
      </c>
      <c r="F460" s="8">
        <v>178500</v>
      </c>
      <c r="G460" t="s">
        <v>27</v>
      </c>
    </row>
    <row r="461" spans="1:7" x14ac:dyDescent="0.25">
      <c r="A461" t="s">
        <v>150</v>
      </c>
      <c r="B461" t="s">
        <v>24</v>
      </c>
      <c r="C461" t="s">
        <v>25</v>
      </c>
      <c r="D461" s="7">
        <v>44813</v>
      </c>
      <c r="E461" t="s">
        <v>161</v>
      </c>
      <c r="F461" s="8">
        <v>127500</v>
      </c>
      <c r="G461" t="s">
        <v>27</v>
      </c>
    </row>
    <row r="462" spans="1:7" x14ac:dyDescent="0.25">
      <c r="A462" t="s">
        <v>150</v>
      </c>
      <c r="B462" t="s">
        <v>24</v>
      </c>
      <c r="C462" t="s">
        <v>25</v>
      </c>
      <c r="D462" s="7">
        <v>44825</v>
      </c>
      <c r="E462" t="s">
        <v>90</v>
      </c>
      <c r="F462" s="8">
        <v>723405</v>
      </c>
      <c r="G462" t="s">
        <v>27</v>
      </c>
    </row>
    <row r="463" spans="1:7" x14ac:dyDescent="0.25">
      <c r="A463" t="s">
        <v>150</v>
      </c>
      <c r="B463" t="s">
        <v>29</v>
      </c>
      <c r="C463" t="s">
        <v>30</v>
      </c>
      <c r="D463" s="7">
        <v>44831</v>
      </c>
      <c r="E463" t="s">
        <v>158</v>
      </c>
      <c r="F463" s="8">
        <v>1116666.6599999999</v>
      </c>
      <c r="G463" t="s">
        <v>27</v>
      </c>
    </row>
    <row r="464" spans="1:7" x14ac:dyDescent="0.25">
      <c r="A464" t="s">
        <v>150</v>
      </c>
      <c r="B464" t="s">
        <v>29</v>
      </c>
      <c r="C464" t="s">
        <v>30</v>
      </c>
      <c r="D464" s="7">
        <v>44832</v>
      </c>
      <c r="E464" t="s">
        <v>100</v>
      </c>
      <c r="F464" s="8">
        <v>91200</v>
      </c>
      <c r="G464" t="s">
        <v>27</v>
      </c>
    </row>
    <row r="465" spans="1:7" x14ac:dyDescent="0.25">
      <c r="A465" t="s">
        <v>150</v>
      </c>
      <c r="B465" t="s">
        <v>29</v>
      </c>
      <c r="C465" t="s">
        <v>30</v>
      </c>
      <c r="D465" s="7">
        <v>44833</v>
      </c>
      <c r="E465" t="s">
        <v>74</v>
      </c>
      <c r="F465" s="8">
        <v>564105.6</v>
      </c>
      <c r="G465" t="s">
        <v>27</v>
      </c>
    </row>
    <row r="466" spans="1:7" x14ac:dyDescent="0.25">
      <c r="A466" t="s">
        <v>150</v>
      </c>
      <c r="B466" t="s">
        <v>24</v>
      </c>
      <c r="C466" t="s">
        <v>25</v>
      </c>
      <c r="D466" s="7">
        <v>44834</v>
      </c>
      <c r="E466" t="s">
        <v>100</v>
      </c>
      <c r="F466" s="8">
        <v>900964</v>
      </c>
      <c r="G466" t="s">
        <v>27</v>
      </c>
    </row>
    <row r="467" spans="1:7" x14ac:dyDescent="0.25">
      <c r="A467" t="s">
        <v>150</v>
      </c>
      <c r="B467" t="s">
        <v>29</v>
      </c>
      <c r="C467" t="s">
        <v>30</v>
      </c>
      <c r="D467" s="7">
        <v>44851</v>
      </c>
      <c r="E467" t="s">
        <v>158</v>
      </c>
      <c r="F467" s="8">
        <v>880852.38</v>
      </c>
      <c r="G467" t="s">
        <v>27</v>
      </c>
    </row>
    <row r="468" spans="1:7" x14ac:dyDescent="0.25">
      <c r="A468" t="s">
        <v>150</v>
      </c>
      <c r="B468" t="s">
        <v>24</v>
      </c>
      <c r="C468" t="s">
        <v>25</v>
      </c>
      <c r="D468" s="7">
        <v>44856</v>
      </c>
      <c r="E468" t="s">
        <v>90</v>
      </c>
      <c r="F468" s="8">
        <v>904264</v>
      </c>
      <c r="G468" t="s">
        <v>27</v>
      </c>
    </row>
    <row r="469" spans="1:7" x14ac:dyDescent="0.25">
      <c r="A469" t="s">
        <v>150</v>
      </c>
      <c r="B469" t="s">
        <v>24</v>
      </c>
      <c r="C469" t="s">
        <v>25</v>
      </c>
      <c r="D469" s="7">
        <v>44864</v>
      </c>
      <c r="E469" t="s">
        <v>74</v>
      </c>
      <c r="F469" s="8">
        <v>952000</v>
      </c>
      <c r="G469" t="s">
        <v>27</v>
      </c>
    </row>
    <row r="470" spans="1:7" x14ac:dyDescent="0.25">
      <c r="A470" t="s">
        <v>150</v>
      </c>
      <c r="B470" t="s">
        <v>24</v>
      </c>
      <c r="C470" t="s">
        <v>25</v>
      </c>
      <c r="D470" s="7">
        <v>44864</v>
      </c>
      <c r="E470" t="s">
        <v>66</v>
      </c>
      <c r="F470" s="8">
        <v>952000</v>
      </c>
      <c r="G470" t="s">
        <v>27</v>
      </c>
    </row>
    <row r="471" spans="1:7" x14ac:dyDescent="0.25">
      <c r="A471" t="s">
        <v>150</v>
      </c>
      <c r="B471" t="s">
        <v>29</v>
      </c>
      <c r="C471" t="s">
        <v>30</v>
      </c>
      <c r="D471" s="7">
        <v>44876</v>
      </c>
      <c r="E471" t="s">
        <v>162</v>
      </c>
      <c r="F471" s="8">
        <v>26100</v>
      </c>
      <c r="G471" t="s">
        <v>27</v>
      </c>
    </row>
    <row r="472" spans="1:7" x14ac:dyDescent="0.25">
      <c r="A472" t="s">
        <v>150</v>
      </c>
      <c r="B472" t="s">
        <v>24</v>
      </c>
      <c r="C472" t="s">
        <v>25</v>
      </c>
      <c r="D472" s="7">
        <v>44877</v>
      </c>
      <c r="E472" t="s">
        <v>59</v>
      </c>
      <c r="F472" s="8">
        <v>114240</v>
      </c>
      <c r="G472" t="s">
        <v>27</v>
      </c>
    </row>
    <row r="473" spans="1:7" x14ac:dyDescent="0.25">
      <c r="A473" t="s">
        <v>150</v>
      </c>
      <c r="B473" t="s">
        <v>29</v>
      </c>
      <c r="C473" t="s">
        <v>30</v>
      </c>
      <c r="D473" s="7">
        <v>44877</v>
      </c>
      <c r="E473" t="s">
        <v>162</v>
      </c>
      <c r="F473" s="8">
        <v>26100</v>
      </c>
      <c r="G473" t="s">
        <v>27</v>
      </c>
    </row>
    <row r="474" spans="1:7" x14ac:dyDescent="0.25">
      <c r="A474" t="s">
        <v>150</v>
      </c>
      <c r="B474" t="s">
        <v>29</v>
      </c>
      <c r="C474" t="s">
        <v>30</v>
      </c>
      <c r="D474" s="7">
        <v>44884</v>
      </c>
      <c r="E474" t="s">
        <v>163</v>
      </c>
      <c r="F474" s="8">
        <v>1906.78</v>
      </c>
      <c r="G474" t="s">
        <v>27</v>
      </c>
    </row>
    <row r="475" spans="1:7" x14ac:dyDescent="0.25">
      <c r="A475" t="s">
        <v>150</v>
      </c>
      <c r="B475" t="s">
        <v>24</v>
      </c>
      <c r="C475" t="s">
        <v>25</v>
      </c>
      <c r="D475" s="7">
        <v>44888</v>
      </c>
      <c r="E475" t="s">
        <v>50</v>
      </c>
      <c r="F475" s="8">
        <v>919356</v>
      </c>
      <c r="G475" t="s">
        <v>27</v>
      </c>
    </row>
    <row r="476" spans="1:7" x14ac:dyDescent="0.25">
      <c r="A476" t="s">
        <v>150</v>
      </c>
      <c r="B476" t="s">
        <v>24</v>
      </c>
      <c r="C476" t="s">
        <v>25</v>
      </c>
      <c r="D476" s="7">
        <v>44888</v>
      </c>
      <c r="E476" t="s">
        <v>153</v>
      </c>
      <c r="F476" s="8">
        <v>952380</v>
      </c>
      <c r="G476" t="s">
        <v>27</v>
      </c>
    </row>
    <row r="477" spans="1:7" x14ac:dyDescent="0.25">
      <c r="A477" t="s">
        <v>150</v>
      </c>
      <c r="B477" t="s">
        <v>24</v>
      </c>
      <c r="C477" t="s">
        <v>25</v>
      </c>
      <c r="D477" s="7">
        <v>44888</v>
      </c>
      <c r="E477" t="s">
        <v>74</v>
      </c>
      <c r="F477" s="8">
        <v>952380</v>
      </c>
      <c r="G477" t="s">
        <v>27</v>
      </c>
    </row>
    <row r="478" spans="1:7" x14ac:dyDescent="0.25">
      <c r="A478" t="s">
        <v>150</v>
      </c>
      <c r="B478" t="s">
        <v>29</v>
      </c>
      <c r="C478" t="s">
        <v>30</v>
      </c>
      <c r="D478" s="7">
        <v>44888</v>
      </c>
      <c r="E478" t="s">
        <v>154</v>
      </c>
      <c r="F478" s="8">
        <v>209047.62</v>
      </c>
      <c r="G478" t="s">
        <v>27</v>
      </c>
    </row>
    <row r="479" spans="1:7" x14ac:dyDescent="0.25">
      <c r="A479" t="s">
        <v>150</v>
      </c>
      <c r="B479" t="s">
        <v>24</v>
      </c>
      <c r="C479" t="s">
        <v>25</v>
      </c>
      <c r="D479" s="7">
        <v>44892</v>
      </c>
      <c r="E479" t="s">
        <v>154</v>
      </c>
      <c r="F479" s="8">
        <v>285840</v>
      </c>
      <c r="G479" t="s">
        <v>27</v>
      </c>
    </row>
    <row r="480" spans="1:7" x14ac:dyDescent="0.25">
      <c r="A480" t="s">
        <v>150</v>
      </c>
      <c r="B480" t="s">
        <v>29</v>
      </c>
      <c r="C480" t="s">
        <v>30</v>
      </c>
      <c r="D480" s="7">
        <v>44894</v>
      </c>
      <c r="E480" t="s">
        <v>74</v>
      </c>
      <c r="F480" s="8">
        <v>1622878.4</v>
      </c>
      <c r="G480" t="s">
        <v>27</v>
      </c>
    </row>
    <row r="481" spans="1:7" x14ac:dyDescent="0.25">
      <c r="A481" t="s">
        <v>150</v>
      </c>
      <c r="B481" t="s">
        <v>29</v>
      </c>
      <c r="C481" t="s">
        <v>30</v>
      </c>
      <c r="D481" s="7">
        <v>44896</v>
      </c>
      <c r="E481" t="s">
        <v>164</v>
      </c>
      <c r="F481" s="8">
        <v>421523.8</v>
      </c>
      <c r="G481" t="s">
        <v>27</v>
      </c>
    </row>
    <row r="482" spans="1:7" x14ac:dyDescent="0.25">
      <c r="A482" t="s">
        <v>150</v>
      </c>
      <c r="B482" t="s">
        <v>29</v>
      </c>
      <c r="C482" t="s">
        <v>30</v>
      </c>
      <c r="D482" s="7">
        <v>44903</v>
      </c>
      <c r="E482" t="s">
        <v>153</v>
      </c>
      <c r="F482" s="8">
        <v>114572</v>
      </c>
      <c r="G482" t="s">
        <v>27</v>
      </c>
    </row>
    <row r="483" spans="1:7" x14ac:dyDescent="0.25">
      <c r="A483" t="s">
        <v>150</v>
      </c>
      <c r="B483" t="s">
        <v>24</v>
      </c>
      <c r="C483" t="s">
        <v>25</v>
      </c>
      <c r="D483" s="7">
        <v>44905</v>
      </c>
      <c r="E483" t="s">
        <v>50</v>
      </c>
      <c r="F483" s="8">
        <v>908189</v>
      </c>
      <c r="G483" t="s">
        <v>27</v>
      </c>
    </row>
    <row r="484" spans="1:7" x14ac:dyDescent="0.25">
      <c r="A484" t="s">
        <v>150</v>
      </c>
      <c r="B484" t="s">
        <v>29</v>
      </c>
      <c r="C484" t="s">
        <v>30</v>
      </c>
      <c r="D484" s="7">
        <v>44908</v>
      </c>
      <c r="E484" t="s">
        <v>165</v>
      </c>
      <c r="F484" s="8">
        <v>333600</v>
      </c>
      <c r="G484" t="s">
        <v>27</v>
      </c>
    </row>
    <row r="485" spans="1:7" x14ac:dyDescent="0.25">
      <c r="A485" t="s">
        <v>150</v>
      </c>
      <c r="B485" t="s">
        <v>29</v>
      </c>
      <c r="C485" t="s">
        <v>30</v>
      </c>
      <c r="D485" s="7">
        <v>44908</v>
      </c>
      <c r="E485" t="s">
        <v>47</v>
      </c>
      <c r="F485" s="8">
        <v>761666.72</v>
      </c>
      <c r="G485" t="s">
        <v>27</v>
      </c>
    </row>
    <row r="486" spans="1:7" x14ac:dyDescent="0.25">
      <c r="A486" t="s">
        <v>150</v>
      </c>
      <c r="B486" t="s">
        <v>29</v>
      </c>
      <c r="C486" t="s">
        <v>30</v>
      </c>
      <c r="D486" s="7">
        <v>44908</v>
      </c>
      <c r="E486" t="s">
        <v>49</v>
      </c>
      <c r="F486" s="8">
        <v>1294800</v>
      </c>
      <c r="G486" t="s">
        <v>27</v>
      </c>
    </row>
    <row r="487" spans="1:7" x14ac:dyDescent="0.25">
      <c r="A487" t="s">
        <v>150</v>
      </c>
      <c r="B487" t="s">
        <v>24</v>
      </c>
      <c r="C487" t="s">
        <v>25</v>
      </c>
      <c r="D487" s="7">
        <v>44916</v>
      </c>
      <c r="E487" t="s">
        <v>50</v>
      </c>
      <c r="F487" s="8">
        <v>466286</v>
      </c>
      <c r="G487" t="s">
        <v>27</v>
      </c>
    </row>
    <row r="488" spans="1:7" x14ac:dyDescent="0.25">
      <c r="A488" t="s">
        <v>150</v>
      </c>
      <c r="B488" t="s">
        <v>29</v>
      </c>
      <c r="C488" t="s">
        <v>30</v>
      </c>
      <c r="D488" s="7">
        <v>44916</v>
      </c>
      <c r="E488" t="s">
        <v>51</v>
      </c>
      <c r="F488" s="8">
        <v>381000</v>
      </c>
      <c r="G488" t="s">
        <v>27</v>
      </c>
    </row>
    <row r="489" spans="1:7" x14ac:dyDescent="0.25">
      <c r="A489" t="s">
        <v>150</v>
      </c>
      <c r="B489" t="s">
        <v>24</v>
      </c>
      <c r="C489" t="s">
        <v>25</v>
      </c>
      <c r="D489" s="7">
        <v>44918</v>
      </c>
      <c r="E489" t="s">
        <v>90</v>
      </c>
      <c r="F489" s="8">
        <v>692897</v>
      </c>
      <c r="G489" t="s">
        <v>27</v>
      </c>
    </row>
    <row r="490" spans="1:7" x14ac:dyDescent="0.25">
      <c r="A490" t="s">
        <v>150</v>
      </c>
      <c r="B490" t="s">
        <v>29</v>
      </c>
      <c r="C490" t="s">
        <v>30</v>
      </c>
      <c r="D490" s="7">
        <v>44922</v>
      </c>
      <c r="E490" t="s">
        <v>54</v>
      </c>
      <c r="F490" s="8">
        <v>665000.16</v>
      </c>
      <c r="G490" t="s">
        <v>27</v>
      </c>
    </row>
    <row r="491" spans="1:7" x14ac:dyDescent="0.25">
      <c r="A491" t="s">
        <v>150</v>
      </c>
      <c r="B491" t="s">
        <v>29</v>
      </c>
      <c r="C491" t="s">
        <v>30</v>
      </c>
      <c r="D491" s="7">
        <v>44925</v>
      </c>
      <c r="E491" t="s">
        <v>49</v>
      </c>
      <c r="F491" s="8">
        <v>202380.96</v>
      </c>
      <c r="G491" t="s">
        <v>27</v>
      </c>
    </row>
    <row r="492" spans="1:7" x14ac:dyDescent="0.25">
      <c r="A492" t="s">
        <v>150</v>
      </c>
      <c r="B492" t="s">
        <v>29</v>
      </c>
      <c r="C492" t="s">
        <v>30</v>
      </c>
      <c r="D492" s="7">
        <v>44926</v>
      </c>
      <c r="E492" t="s">
        <v>49</v>
      </c>
      <c r="F492" s="8">
        <v>200000</v>
      </c>
      <c r="G492" t="s">
        <v>27</v>
      </c>
    </row>
    <row r="493" spans="1:7" x14ac:dyDescent="0.25">
      <c r="A493" t="s">
        <v>150</v>
      </c>
      <c r="B493" t="s">
        <v>29</v>
      </c>
      <c r="C493" t="s">
        <v>30</v>
      </c>
      <c r="D493" s="7">
        <v>44926</v>
      </c>
      <c r="E493" t="s">
        <v>71</v>
      </c>
      <c r="F493" s="8">
        <v>439498.1</v>
      </c>
      <c r="G493" t="s">
        <v>27</v>
      </c>
    </row>
    <row r="494" spans="1:7" x14ac:dyDescent="0.25">
      <c r="A494" t="s">
        <v>150</v>
      </c>
      <c r="B494" t="s">
        <v>29</v>
      </c>
      <c r="C494" t="s">
        <v>30</v>
      </c>
      <c r="D494" s="7">
        <v>44926</v>
      </c>
      <c r="E494" t="s">
        <v>57</v>
      </c>
      <c r="F494" s="8">
        <v>51238.09</v>
      </c>
      <c r="G494" t="s">
        <v>27</v>
      </c>
    </row>
    <row r="495" spans="1:7" x14ac:dyDescent="0.25">
      <c r="A495" t="s">
        <v>150</v>
      </c>
      <c r="B495" t="s">
        <v>24</v>
      </c>
      <c r="C495" t="s">
        <v>25</v>
      </c>
      <c r="D495" s="7">
        <v>44939</v>
      </c>
      <c r="E495" t="s">
        <v>155</v>
      </c>
      <c r="F495" s="8">
        <v>471095</v>
      </c>
      <c r="G495" t="s">
        <v>27</v>
      </c>
    </row>
    <row r="496" spans="1:7" x14ac:dyDescent="0.25">
      <c r="A496" t="s">
        <v>150</v>
      </c>
      <c r="B496" t="s">
        <v>24</v>
      </c>
      <c r="C496" t="s">
        <v>25</v>
      </c>
      <c r="D496" s="7">
        <v>44943</v>
      </c>
      <c r="E496" t="s">
        <v>90</v>
      </c>
      <c r="F496" s="8">
        <v>1325098.2</v>
      </c>
      <c r="G496" t="s">
        <v>27</v>
      </c>
    </row>
    <row r="497" spans="1:7" x14ac:dyDescent="0.25">
      <c r="A497" t="s">
        <v>150</v>
      </c>
      <c r="B497" t="s">
        <v>24</v>
      </c>
      <c r="C497" t="s">
        <v>25</v>
      </c>
      <c r="D497" s="7">
        <v>44947</v>
      </c>
      <c r="E497" t="s">
        <v>166</v>
      </c>
      <c r="F497" s="8">
        <v>95238.1</v>
      </c>
      <c r="G497" t="s">
        <v>27</v>
      </c>
    </row>
    <row r="498" spans="1:7" x14ac:dyDescent="0.25">
      <c r="A498" t="s">
        <v>150</v>
      </c>
      <c r="B498" t="s">
        <v>24</v>
      </c>
      <c r="C498" t="s">
        <v>25</v>
      </c>
      <c r="D498" s="7">
        <v>44949</v>
      </c>
      <c r="E498" t="s">
        <v>64</v>
      </c>
      <c r="F498" s="8">
        <v>313716</v>
      </c>
      <c r="G498" t="s">
        <v>27</v>
      </c>
    </row>
    <row r="499" spans="1:7" x14ac:dyDescent="0.25">
      <c r="A499" t="s">
        <v>150</v>
      </c>
      <c r="B499" t="s">
        <v>29</v>
      </c>
      <c r="C499" t="s">
        <v>30</v>
      </c>
      <c r="D499" s="7">
        <v>44957</v>
      </c>
      <c r="E499" t="s">
        <v>153</v>
      </c>
      <c r="F499" s="8">
        <v>76191</v>
      </c>
      <c r="G499" t="s">
        <v>27</v>
      </c>
    </row>
    <row r="500" spans="1:7" x14ac:dyDescent="0.25">
      <c r="A500" t="s">
        <v>150</v>
      </c>
      <c r="B500" t="s">
        <v>29</v>
      </c>
      <c r="C500" t="s">
        <v>30</v>
      </c>
      <c r="D500" s="7">
        <v>44957</v>
      </c>
      <c r="E500" t="s">
        <v>66</v>
      </c>
      <c r="F500" s="8">
        <v>809523</v>
      </c>
      <c r="G500" t="s">
        <v>27</v>
      </c>
    </row>
    <row r="501" spans="1:7" x14ac:dyDescent="0.25">
      <c r="A501" t="s">
        <v>150</v>
      </c>
      <c r="B501" t="s">
        <v>29</v>
      </c>
      <c r="C501" t="s">
        <v>30</v>
      </c>
      <c r="D501" s="7">
        <v>44957</v>
      </c>
      <c r="E501" t="s">
        <v>74</v>
      </c>
      <c r="F501" s="8">
        <v>619063.19999999995</v>
      </c>
      <c r="G501" t="s">
        <v>27</v>
      </c>
    </row>
    <row r="502" spans="1:7" x14ac:dyDescent="0.25">
      <c r="A502" t="s">
        <v>150</v>
      </c>
      <c r="B502" t="s">
        <v>29</v>
      </c>
      <c r="C502" t="s">
        <v>30</v>
      </c>
      <c r="D502" s="7">
        <v>44963</v>
      </c>
      <c r="E502" t="s">
        <v>167</v>
      </c>
      <c r="F502" s="8">
        <v>10000</v>
      </c>
      <c r="G502" t="s">
        <v>27</v>
      </c>
    </row>
    <row r="503" spans="1:7" x14ac:dyDescent="0.25">
      <c r="A503" t="s">
        <v>150</v>
      </c>
      <c r="B503" t="s">
        <v>24</v>
      </c>
      <c r="C503" t="s">
        <v>25</v>
      </c>
      <c r="D503" s="7">
        <v>44964</v>
      </c>
      <c r="E503" t="s">
        <v>64</v>
      </c>
      <c r="F503" s="8">
        <v>246620</v>
      </c>
      <c r="G503" t="s">
        <v>27</v>
      </c>
    </row>
    <row r="504" spans="1:7" x14ac:dyDescent="0.25">
      <c r="A504" t="s">
        <v>150</v>
      </c>
      <c r="B504" t="s">
        <v>24</v>
      </c>
      <c r="C504" t="s">
        <v>25</v>
      </c>
      <c r="D504" s="7">
        <v>44964</v>
      </c>
      <c r="E504" t="s">
        <v>166</v>
      </c>
      <c r="F504" s="8">
        <v>190480</v>
      </c>
      <c r="G504" t="s">
        <v>27</v>
      </c>
    </row>
    <row r="505" spans="1:7" x14ac:dyDescent="0.25">
      <c r="A505" t="s">
        <v>150</v>
      </c>
      <c r="B505" t="s">
        <v>24</v>
      </c>
      <c r="C505" t="s">
        <v>25</v>
      </c>
      <c r="D505" s="7">
        <v>44965</v>
      </c>
      <c r="E505" t="s">
        <v>78</v>
      </c>
      <c r="F505" s="8">
        <v>613276</v>
      </c>
      <c r="G505" t="s">
        <v>27</v>
      </c>
    </row>
    <row r="506" spans="1:7" x14ac:dyDescent="0.25">
      <c r="A506" t="s">
        <v>150</v>
      </c>
      <c r="B506" t="s">
        <v>29</v>
      </c>
      <c r="C506" t="s">
        <v>30</v>
      </c>
      <c r="D506" s="7">
        <v>44968</v>
      </c>
      <c r="E506" t="s">
        <v>168</v>
      </c>
      <c r="F506" s="8">
        <v>786791.43</v>
      </c>
      <c r="G506" t="s">
        <v>27</v>
      </c>
    </row>
    <row r="507" spans="1:7" x14ac:dyDescent="0.25">
      <c r="A507" t="s">
        <v>150</v>
      </c>
      <c r="B507" t="s">
        <v>24</v>
      </c>
      <c r="C507" t="s">
        <v>25</v>
      </c>
      <c r="D507" s="7">
        <v>44969</v>
      </c>
      <c r="E507" t="s">
        <v>155</v>
      </c>
      <c r="F507" s="8">
        <v>72000</v>
      </c>
      <c r="G507" t="s">
        <v>27</v>
      </c>
    </row>
    <row r="508" spans="1:7" x14ac:dyDescent="0.25">
      <c r="A508" t="s">
        <v>150</v>
      </c>
      <c r="B508" t="s">
        <v>24</v>
      </c>
      <c r="C508" t="s">
        <v>25</v>
      </c>
      <c r="D508" s="7">
        <v>44969</v>
      </c>
      <c r="E508" t="s">
        <v>51</v>
      </c>
      <c r="F508" s="8">
        <v>228580</v>
      </c>
      <c r="G508" t="s">
        <v>27</v>
      </c>
    </row>
    <row r="509" spans="1:7" x14ac:dyDescent="0.25">
      <c r="A509" t="s">
        <v>150</v>
      </c>
      <c r="B509" t="s">
        <v>24</v>
      </c>
      <c r="C509" t="s">
        <v>25</v>
      </c>
      <c r="D509" s="7">
        <v>44970</v>
      </c>
      <c r="E509" t="s">
        <v>161</v>
      </c>
      <c r="F509" s="8">
        <v>13450</v>
      </c>
      <c r="G509" t="s">
        <v>27</v>
      </c>
    </row>
    <row r="510" spans="1:7" x14ac:dyDescent="0.25">
      <c r="A510" t="s">
        <v>150</v>
      </c>
      <c r="B510" t="s">
        <v>29</v>
      </c>
      <c r="C510" t="s">
        <v>30</v>
      </c>
      <c r="D510" s="7">
        <v>44970</v>
      </c>
      <c r="E510" t="s">
        <v>47</v>
      </c>
      <c r="F510" s="8">
        <v>709239.08</v>
      </c>
      <c r="G510" t="s">
        <v>27</v>
      </c>
    </row>
    <row r="511" spans="1:7" x14ac:dyDescent="0.25">
      <c r="A511" t="s">
        <v>150</v>
      </c>
      <c r="B511" t="s">
        <v>24</v>
      </c>
      <c r="C511" t="s">
        <v>25</v>
      </c>
      <c r="D511" s="7">
        <v>44971</v>
      </c>
      <c r="E511" t="s">
        <v>65</v>
      </c>
      <c r="F511" s="8">
        <v>313712</v>
      </c>
      <c r="G511" t="s">
        <v>27</v>
      </c>
    </row>
    <row r="512" spans="1:7" x14ac:dyDescent="0.25">
      <c r="A512" t="s">
        <v>150</v>
      </c>
      <c r="B512" t="s">
        <v>29</v>
      </c>
      <c r="C512" t="s">
        <v>30</v>
      </c>
      <c r="D512" s="7">
        <v>44975</v>
      </c>
      <c r="E512" t="s">
        <v>49</v>
      </c>
      <c r="F512" s="8">
        <v>546666.66</v>
      </c>
      <c r="G512" t="s">
        <v>27</v>
      </c>
    </row>
    <row r="513" spans="1:7" x14ac:dyDescent="0.25">
      <c r="A513" t="s">
        <v>150</v>
      </c>
      <c r="B513" t="s">
        <v>29</v>
      </c>
      <c r="C513" t="s">
        <v>30</v>
      </c>
      <c r="D513" s="7">
        <v>44975</v>
      </c>
      <c r="E513" t="s">
        <v>49</v>
      </c>
      <c r="F513" s="8">
        <v>336964.76</v>
      </c>
      <c r="G513" t="s">
        <v>27</v>
      </c>
    </row>
    <row r="514" spans="1:7" x14ac:dyDescent="0.25">
      <c r="A514" t="s">
        <v>150</v>
      </c>
      <c r="B514" t="s">
        <v>24</v>
      </c>
      <c r="C514" t="s">
        <v>25</v>
      </c>
      <c r="D514" s="7">
        <v>44981</v>
      </c>
      <c r="E514" t="s">
        <v>64</v>
      </c>
      <c r="F514" s="8">
        <v>243575</v>
      </c>
      <c r="G514" t="s">
        <v>27</v>
      </c>
    </row>
    <row r="515" spans="1:7" x14ac:dyDescent="0.25">
      <c r="A515" t="s">
        <v>150</v>
      </c>
      <c r="B515" t="s">
        <v>24</v>
      </c>
      <c r="C515" t="s">
        <v>25</v>
      </c>
      <c r="D515" s="7">
        <v>44984</v>
      </c>
      <c r="E515" t="s">
        <v>169</v>
      </c>
      <c r="F515" s="8">
        <v>252478</v>
      </c>
      <c r="G515" t="s">
        <v>27</v>
      </c>
    </row>
    <row r="516" spans="1:7" x14ac:dyDescent="0.25">
      <c r="A516" t="s">
        <v>150</v>
      </c>
      <c r="B516" t="s">
        <v>24</v>
      </c>
      <c r="C516" t="s">
        <v>25</v>
      </c>
      <c r="D516" s="7">
        <v>44988</v>
      </c>
      <c r="E516" t="s">
        <v>65</v>
      </c>
      <c r="F516" s="8">
        <v>667857</v>
      </c>
      <c r="G516" t="s">
        <v>27</v>
      </c>
    </row>
    <row r="517" spans="1:7" x14ac:dyDescent="0.25">
      <c r="A517" t="s">
        <v>150</v>
      </c>
      <c r="B517" t="s">
        <v>24</v>
      </c>
      <c r="C517" t="s">
        <v>25</v>
      </c>
      <c r="D517" s="7">
        <v>44989</v>
      </c>
      <c r="E517" t="s">
        <v>50</v>
      </c>
      <c r="F517" s="8">
        <v>532698</v>
      </c>
      <c r="G517" t="s">
        <v>27</v>
      </c>
    </row>
    <row r="518" spans="1:7" x14ac:dyDescent="0.25">
      <c r="A518" t="s">
        <v>150</v>
      </c>
      <c r="B518" t="s">
        <v>29</v>
      </c>
      <c r="C518" t="s">
        <v>30</v>
      </c>
      <c r="D518" s="7">
        <v>44992</v>
      </c>
      <c r="E518" t="s">
        <v>164</v>
      </c>
      <c r="F518" s="8">
        <v>942857.14</v>
      </c>
      <c r="G518" t="s">
        <v>27</v>
      </c>
    </row>
    <row r="519" spans="1:7" x14ac:dyDescent="0.25">
      <c r="A519" t="s">
        <v>150</v>
      </c>
      <c r="B519" t="s">
        <v>24</v>
      </c>
      <c r="C519" t="s">
        <v>25</v>
      </c>
      <c r="D519" s="7">
        <v>44993</v>
      </c>
      <c r="E519" t="s">
        <v>166</v>
      </c>
      <c r="F519" s="8">
        <v>619060</v>
      </c>
      <c r="G519" t="s">
        <v>27</v>
      </c>
    </row>
    <row r="520" spans="1:7" x14ac:dyDescent="0.25">
      <c r="A520" t="s">
        <v>150</v>
      </c>
      <c r="B520" t="s">
        <v>24</v>
      </c>
      <c r="C520" t="s">
        <v>25</v>
      </c>
      <c r="D520" s="7">
        <v>44998</v>
      </c>
      <c r="E520" t="s">
        <v>50</v>
      </c>
      <c r="F520" s="8">
        <v>457143</v>
      </c>
      <c r="G520" t="s">
        <v>27</v>
      </c>
    </row>
    <row r="521" spans="1:7" x14ac:dyDescent="0.25">
      <c r="A521" t="s">
        <v>150</v>
      </c>
      <c r="B521" t="s">
        <v>24</v>
      </c>
      <c r="C521" t="s">
        <v>25</v>
      </c>
      <c r="D521" s="7">
        <v>44998</v>
      </c>
      <c r="E521" t="s">
        <v>64</v>
      </c>
      <c r="F521" s="8">
        <v>315575</v>
      </c>
      <c r="G521" t="s">
        <v>27</v>
      </c>
    </row>
    <row r="522" spans="1:7" x14ac:dyDescent="0.25">
      <c r="A522" t="s">
        <v>150</v>
      </c>
      <c r="B522" t="s">
        <v>29</v>
      </c>
      <c r="C522" t="s">
        <v>30</v>
      </c>
      <c r="D522" s="7">
        <v>45001</v>
      </c>
      <c r="E522" t="s">
        <v>47</v>
      </c>
      <c r="F522" s="8">
        <v>475424</v>
      </c>
      <c r="G522" t="s">
        <v>27</v>
      </c>
    </row>
    <row r="523" spans="1:7" x14ac:dyDescent="0.25">
      <c r="A523" t="s">
        <v>150</v>
      </c>
      <c r="B523" t="s">
        <v>24</v>
      </c>
      <c r="C523" t="s">
        <v>25</v>
      </c>
      <c r="D523" s="7">
        <v>45002</v>
      </c>
      <c r="E523" t="s">
        <v>90</v>
      </c>
      <c r="F523" s="8">
        <v>1082471</v>
      </c>
      <c r="G523" t="s">
        <v>27</v>
      </c>
    </row>
    <row r="524" spans="1:7" x14ac:dyDescent="0.25">
      <c r="A524" t="s">
        <v>150</v>
      </c>
      <c r="B524" t="s">
        <v>29</v>
      </c>
      <c r="C524" t="s">
        <v>30</v>
      </c>
      <c r="D524" s="7">
        <v>45005</v>
      </c>
      <c r="E524" t="s">
        <v>54</v>
      </c>
      <c r="F524" s="8">
        <v>1094001</v>
      </c>
      <c r="G524" t="s">
        <v>27</v>
      </c>
    </row>
    <row r="525" spans="1:7" x14ac:dyDescent="0.25">
      <c r="A525" t="s">
        <v>150</v>
      </c>
      <c r="B525" t="s">
        <v>24</v>
      </c>
      <c r="C525" t="s">
        <v>25</v>
      </c>
      <c r="D525" s="7">
        <v>45007</v>
      </c>
      <c r="E525" t="s">
        <v>64</v>
      </c>
      <c r="F525" s="8">
        <v>183198</v>
      </c>
      <c r="G525" t="s">
        <v>27</v>
      </c>
    </row>
    <row r="526" spans="1:7" x14ac:dyDescent="0.25">
      <c r="A526" t="s">
        <v>150</v>
      </c>
      <c r="B526" t="s">
        <v>24</v>
      </c>
      <c r="C526" t="s">
        <v>25</v>
      </c>
      <c r="D526" s="7">
        <v>45012</v>
      </c>
      <c r="E526" t="s">
        <v>169</v>
      </c>
      <c r="F526" s="8">
        <v>292892</v>
      </c>
      <c r="G526" t="s">
        <v>27</v>
      </c>
    </row>
    <row r="527" spans="1:7" x14ac:dyDescent="0.25">
      <c r="A527" t="s">
        <v>150</v>
      </c>
      <c r="B527" t="s">
        <v>24</v>
      </c>
      <c r="C527" t="s">
        <v>25</v>
      </c>
      <c r="D527" s="7">
        <v>45012</v>
      </c>
      <c r="E527" t="s">
        <v>155</v>
      </c>
      <c r="F527" s="8">
        <v>100125</v>
      </c>
      <c r="G527" t="s">
        <v>27</v>
      </c>
    </row>
    <row r="528" spans="1:7" x14ac:dyDescent="0.25">
      <c r="A528" t="s">
        <v>150</v>
      </c>
      <c r="B528" t="s">
        <v>29</v>
      </c>
      <c r="C528" t="s">
        <v>30</v>
      </c>
      <c r="D528" s="7">
        <v>45012</v>
      </c>
      <c r="E528" t="s">
        <v>71</v>
      </c>
      <c r="F528" s="8">
        <v>95238.1</v>
      </c>
      <c r="G528" t="s">
        <v>27</v>
      </c>
    </row>
    <row r="529" spans="1:7" x14ac:dyDescent="0.25">
      <c r="A529" t="s">
        <v>150</v>
      </c>
      <c r="B529" t="s">
        <v>29</v>
      </c>
      <c r="C529" t="s">
        <v>30</v>
      </c>
      <c r="D529" s="7">
        <v>45012</v>
      </c>
      <c r="E529" t="s">
        <v>74</v>
      </c>
      <c r="F529" s="8">
        <v>95240</v>
      </c>
      <c r="G529" t="s">
        <v>27</v>
      </c>
    </row>
    <row r="530" spans="1:7" x14ac:dyDescent="0.25">
      <c r="A530" t="s">
        <v>150</v>
      </c>
      <c r="B530" t="s">
        <v>29</v>
      </c>
      <c r="C530" t="s">
        <v>30</v>
      </c>
      <c r="D530" s="7">
        <v>45012</v>
      </c>
      <c r="E530" t="s">
        <v>42</v>
      </c>
      <c r="F530" s="8">
        <v>156975</v>
      </c>
      <c r="G530" t="s">
        <v>27</v>
      </c>
    </row>
    <row r="531" spans="1:7" x14ac:dyDescent="0.25">
      <c r="A531" t="s">
        <v>150</v>
      </c>
      <c r="B531" t="s">
        <v>24</v>
      </c>
      <c r="C531" t="s">
        <v>25</v>
      </c>
      <c r="D531" s="7">
        <v>45013</v>
      </c>
      <c r="E531" t="s">
        <v>156</v>
      </c>
      <c r="F531" s="8">
        <v>190400</v>
      </c>
      <c r="G531" t="s">
        <v>27</v>
      </c>
    </row>
    <row r="532" spans="1:7" x14ac:dyDescent="0.25">
      <c r="A532" t="s">
        <v>150</v>
      </c>
      <c r="B532" t="s">
        <v>29</v>
      </c>
      <c r="C532" t="s">
        <v>30</v>
      </c>
      <c r="D532" s="7">
        <v>45013</v>
      </c>
      <c r="E532" t="s">
        <v>153</v>
      </c>
      <c r="F532" s="8">
        <v>103958</v>
      </c>
      <c r="G532" t="s">
        <v>27</v>
      </c>
    </row>
    <row r="533" spans="1:7" x14ac:dyDescent="0.25">
      <c r="A533" t="s">
        <v>150</v>
      </c>
      <c r="B533" t="s">
        <v>29</v>
      </c>
      <c r="C533" t="s">
        <v>30</v>
      </c>
      <c r="D533" s="7">
        <v>45013</v>
      </c>
      <c r="E533" t="s">
        <v>66</v>
      </c>
      <c r="F533" s="8">
        <v>428190</v>
      </c>
      <c r="G533" t="s">
        <v>27</v>
      </c>
    </row>
    <row r="534" spans="1:7" x14ac:dyDescent="0.25">
      <c r="A534" t="s">
        <v>150</v>
      </c>
      <c r="B534" t="s">
        <v>29</v>
      </c>
      <c r="C534" t="s">
        <v>30</v>
      </c>
      <c r="D534" s="7">
        <v>45013</v>
      </c>
      <c r="E534" t="s">
        <v>47</v>
      </c>
      <c r="F534" s="8">
        <v>737923.86</v>
      </c>
      <c r="G534" t="s">
        <v>27</v>
      </c>
    </row>
    <row r="535" spans="1:7" x14ac:dyDescent="0.25">
      <c r="A535" t="s">
        <v>150</v>
      </c>
      <c r="B535" t="s">
        <v>24</v>
      </c>
      <c r="C535" t="s">
        <v>25</v>
      </c>
      <c r="D535" s="7">
        <v>45014</v>
      </c>
      <c r="E535" t="s">
        <v>170</v>
      </c>
      <c r="F535" s="8">
        <v>365730</v>
      </c>
      <c r="G535" t="s">
        <v>27</v>
      </c>
    </row>
    <row r="536" spans="1:7" x14ac:dyDescent="0.25">
      <c r="A536" t="s">
        <v>150</v>
      </c>
      <c r="B536" t="s">
        <v>29</v>
      </c>
      <c r="C536" t="s">
        <v>30</v>
      </c>
      <c r="D536" s="7">
        <v>45014</v>
      </c>
      <c r="E536" t="s">
        <v>49</v>
      </c>
      <c r="F536" s="8">
        <v>3035.24</v>
      </c>
      <c r="G536" t="s">
        <v>27</v>
      </c>
    </row>
    <row r="537" spans="1:7" x14ac:dyDescent="0.25">
      <c r="A537" t="s">
        <v>150</v>
      </c>
      <c r="B537" t="s">
        <v>29</v>
      </c>
      <c r="C537" t="s">
        <v>30</v>
      </c>
      <c r="D537" s="7">
        <v>45014</v>
      </c>
      <c r="E537" t="s">
        <v>171</v>
      </c>
      <c r="F537" s="8">
        <v>3520560</v>
      </c>
      <c r="G537" t="s">
        <v>27</v>
      </c>
    </row>
    <row r="538" spans="1:7" x14ac:dyDescent="0.25">
      <c r="A538" t="s">
        <v>150</v>
      </c>
      <c r="B538" t="s">
        <v>24</v>
      </c>
      <c r="C538" t="s">
        <v>25</v>
      </c>
      <c r="D538" s="7">
        <v>45016</v>
      </c>
      <c r="E538" t="s">
        <v>59</v>
      </c>
      <c r="F538" s="8">
        <v>45000</v>
      </c>
      <c r="G538" t="s">
        <v>27</v>
      </c>
    </row>
    <row r="539" spans="1:7" x14ac:dyDescent="0.25">
      <c r="A539" t="s">
        <v>150</v>
      </c>
      <c r="B539" t="s">
        <v>24</v>
      </c>
      <c r="C539" t="s">
        <v>25</v>
      </c>
      <c r="D539" s="7">
        <v>45016</v>
      </c>
      <c r="E539" t="s">
        <v>59</v>
      </c>
      <c r="F539" s="8">
        <v>55000</v>
      </c>
      <c r="G539" t="s">
        <v>27</v>
      </c>
    </row>
    <row r="540" spans="1:7" x14ac:dyDescent="0.25">
      <c r="A540" t="s">
        <v>150</v>
      </c>
      <c r="B540" t="s">
        <v>24</v>
      </c>
      <c r="C540" t="s">
        <v>25</v>
      </c>
      <c r="D540" s="7">
        <v>45016</v>
      </c>
      <c r="E540" t="s">
        <v>59</v>
      </c>
      <c r="F540" s="8">
        <v>70000</v>
      </c>
      <c r="G540" t="s">
        <v>27</v>
      </c>
    </row>
    <row r="541" spans="1:7" x14ac:dyDescent="0.25">
      <c r="A541" t="s">
        <v>150</v>
      </c>
      <c r="B541" t="s">
        <v>29</v>
      </c>
      <c r="C541" t="s">
        <v>30</v>
      </c>
      <c r="D541" s="7">
        <v>45017</v>
      </c>
      <c r="E541" t="s">
        <v>172</v>
      </c>
      <c r="F541" s="8">
        <v>2703125</v>
      </c>
      <c r="G541" t="s">
        <v>61</v>
      </c>
    </row>
    <row r="542" spans="1:7" x14ac:dyDescent="0.25">
      <c r="A542" t="s">
        <v>150</v>
      </c>
      <c r="B542" t="s">
        <v>24</v>
      </c>
      <c r="C542" t="s">
        <v>25</v>
      </c>
      <c r="D542" s="7">
        <v>45021</v>
      </c>
      <c r="E542" t="s">
        <v>33</v>
      </c>
      <c r="F542" s="8">
        <v>296790</v>
      </c>
      <c r="G542" t="s">
        <v>61</v>
      </c>
    </row>
    <row r="543" spans="1:7" x14ac:dyDescent="0.25">
      <c r="A543" t="s">
        <v>150</v>
      </c>
      <c r="B543" t="s">
        <v>24</v>
      </c>
      <c r="C543" t="s">
        <v>25</v>
      </c>
      <c r="D543" s="7">
        <v>45026</v>
      </c>
      <c r="E543" t="s">
        <v>64</v>
      </c>
      <c r="F543" s="8">
        <v>301528.59999999998</v>
      </c>
      <c r="G543" t="s">
        <v>61</v>
      </c>
    </row>
    <row r="544" spans="1:7" x14ac:dyDescent="0.25">
      <c r="A544" t="s">
        <v>150</v>
      </c>
      <c r="B544" t="s">
        <v>24</v>
      </c>
      <c r="C544" t="s">
        <v>25</v>
      </c>
      <c r="D544" s="7">
        <v>45027</v>
      </c>
      <c r="E544" t="s">
        <v>50</v>
      </c>
      <c r="F544" s="8">
        <v>368444</v>
      </c>
      <c r="G544" t="s">
        <v>61</v>
      </c>
    </row>
    <row r="545" spans="1:7" x14ac:dyDescent="0.25">
      <c r="A545" t="s">
        <v>150</v>
      </c>
      <c r="B545" t="s">
        <v>24</v>
      </c>
      <c r="C545" t="s">
        <v>30</v>
      </c>
      <c r="D545" s="7">
        <v>45029</v>
      </c>
      <c r="E545" t="s">
        <v>66</v>
      </c>
      <c r="F545" s="8">
        <v>174286</v>
      </c>
      <c r="G545" t="s">
        <v>61</v>
      </c>
    </row>
    <row r="546" spans="1:7" x14ac:dyDescent="0.25">
      <c r="A546" t="s">
        <v>150</v>
      </c>
      <c r="B546" t="s">
        <v>24</v>
      </c>
      <c r="C546" t="s">
        <v>30</v>
      </c>
      <c r="D546" s="7">
        <v>45029</v>
      </c>
      <c r="E546" t="s">
        <v>74</v>
      </c>
      <c r="F546" s="8">
        <v>2638000</v>
      </c>
      <c r="G546" t="s">
        <v>61</v>
      </c>
    </row>
    <row r="547" spans="1:7" x14ac:dyDescent="0.25">
      <c r="A547" t="s">
        <v>150</v>
      </c>
      <c r="B547" t="s">
        <v>24</v>
      </c>
      <c r="C547" t="s">
        <v>30</v>
      </c>
      <c r="D547" s="7">
        <v>45029</v>
      </c>
      <c r="E547" t="s">
        <v>38</v>
      </c>
      <c r="F547" s="8">
        <v>1820000</v>
      </c>
      <c r="G547" t="s">
        <v>61</v>
      </c>
    </row>
    <row r="548" spans="1:7" x14ac:dyDescent="0.25">
      <c r="A548" t="s">
        <v>150</v>
      </c>
      <c r="B548" t="s">
        <v>29</v>
      </c>
      <c r="C548" t="s">
        <v>30</v>
      </c>
      <c r="D548" s="7">
        <v>45030</v>
      </c>
      <c r="E548" t="s">
        <v>66</v>
      </c>
      <c r="F548" s="8">
        <v>261905</v>
      </c>
      <c r="G548" t="s">
        <v>61</v>
      </c>
    </row>
    <row r="549" spans="1:7" x14ac:dyDescent="0.25">
      <c r="A549" t="s">
        <v>150</v>
      </c>
      <c r="B549" t="s">
        <v>29</v>
      </c>
      <c r="C549" t="s">
        <v>30</v>
      </c>
      <c r="D549" s="7">
        <v>45030</v>
      </c>
      <c r="E549" t="s">
        <v>38</v>
      </c>
      <c r="F549" s="8">
        <v>392476</v>
      </c>
      <c r="G549" t="s">
        <v>61</v>
      </c>
    </row>
    <row r="550" spans="1:7" x14ac:dyDescent="0.25">
      <c r="A550" t="s">
        <v>150</v>
      </c>
      <c r="B550" t="s">
        <v>29</v>
      </c>
      <c r="C550" t="s">
        <v>30</v>
      </c>
      <c r="D550" s="7">
        <v>45038</v>
      </c>
      <c r="E550" t="s">
        <v>173</v>
      </c>
      <c r="F550" s="8">
        <v>2887500</v>
      </c>
      <c r="G550" t="s">
        <v>61</v>
      </c>
    </row>
    <row r="551" spans="1:7" x14ac:dyDescent="0.25">
      <c r="A551" t="s">
        <v>150</v>
      </c>
      <c r="B551" t="s">
        <v>24</v>
      </c>
      <c r="C551" t="s">
        <v>25</v>
      </c>
      <c r="D551" s="7">
        <v>45039</v>
      </c>
      <c r="E551" t="s">
        <v>50</v>
      </c>
      <c r="F551" s="8">
        <v>603362</v>
      </c>
      <c r="G551" t="s">
        <v>61</v>
      </c>
    </row>
    <row r="552" spans="1:7" x14ac:dyDescent="0.25">
      <c r="A552" t="s">
        <v>150</v>
      </c>
      <c r="B552" t="s">
        <v>24</v>
      </c>
      <c r="C552" t="s">
        <v>25</v>
      </c>
      <c r="D552" s="7">
        <v>45040</v>
      </c>
      <c r="E552" t="s">
        <v>65</v>
      </c>
      <c r="F552" s="8">
        <v>480060.6</v>
      </c>
      <c r="G552" t="s">
        <v>61</v>
      </c>
    </row>
    <row r="553" spans="1:7" x14ac:dyDescent="0.25">
      <c r="A553" t="s">
        <v>150</v>
      </c>
      <c r="B553" t="s">
        <v>24</v>
      </c>
      <c r="C553" t="s">
        <v>25</v>
      </c>
      <c r="D553" s="7">
        <v>45044</v>
      </c>
      <c r="E553" t="s">
        <v>28</v>
      </c>
      <c r="F553" s="8">
        <v>679909.55</v>
      </c>
      <c r="G553" t="s">
        <v>61</v>
      </c>
    </row>
    <row r="554" spans="1:7" x14ac:dyDescent="0.25">
      <c r="A554" t="s">
        <v>150</v>
      </c>
      <c r="B554" t="s">
        <v>29</v>
      </c>
      <c r="C554" t="s">
        <v>25</v>
      </c>
      <c r="D554" s="7">
        <v>45044</v>
      </c>
      <c r="E554" t="s">
        <v>47</v>
      </c>
      <c r="F554" s="8">
        <v>677810.4</v>
      </c>
      <c r="G554" t="s">
        <v>61</v>
      </c>
    </row>
    <row r="555" spans="1:7" x14ac:dyDescent="0.25">
      <c r="A555" t="s">
        <v>150</v>
      </c>
      <c r="B555" t="s">
        <v>29</v>
      </c>
      <c r="C555" t="s">
        <v>30</v>
      </c>
      <c r="D555" s="7">
        <v>45045</v>
      </c>
      <c r="E555" t="s">
        <v>74</v>
      </c>
      <c r="F555" s="8">
        <v>552384</v>
      </c>
      <c r="G555" t="s">
        <v>61</v>
      </c>
    </row>
    <row r="556" spans="1:7" x14ac:dyDescent="0.25">
      <c r="A556" t="s">
        <v>150</v>
      </c>
      <c r="B556" t="s">
        <v>29</v>
      </c>
      <c r="C556" t="s">
        <v>30</v>
      </c>
      <c r="D556" s="7">
        <v>45054</v>
      </c>
      <c r="E556" t="s">
        <v>174</v>
      </c>
      <c r="F556" s="8">
        <v>288000</v>
      </c>
      <c r="G556" t="s">
        <v>61</v>
      </c>
    </row>
    <row r="557" spans="1:7" x14ac:dyDescent="0.25">
      <c r="A557" t="s">
        <v>150</v>
      </c>
      <c r="B557" t="s">
        <v>29</v>
      </c>
      <c r="C557" t="s">
        <v>30</v>
      </c>
      <c r="D557" s="7">
        <v>45054</v>
      </c>
      <c r="E557" t="s">
        <v>174</v>
      </c>
      <c r="F557" s="8">
        <v>240000</v>
      </c>
      <c r="G557" t="s">
        <v>61</v>
      </c>
    </row>
    <row r="558" spans="1:7" x14ac:dyDescent="0.25">
      <c r="A558" t="s">
        <v>150</v>
      </c>
      <c r="B558" t="s">
        <v>29</v>
      </c>
      <c r="C558" t="s">
        <v>30</v>
      </c>
      <c r="D558" s="7">
        <v>45055</v>
      </c>
      <c r="E558" t="s">
        <v>54</v>
      </c>
      <c r="F558" s="8">
        <v>1104143.52</v>
      </c>
      <c r="G558" t="s">
        <v>61</v>
      </c>
    </row>
    <row r="559" spans="1:7" x14ac:dyDescent="0.25">
      <c r="A559" t="s">
        <v>150</v>
      </c>
      <c r="B559" t="s">
        <v>24</v>
      </c>
      <c r="C559" t="s">
        <v>25</v>
      </c>
      <c r="D559" s="7">
        <v>45069</v>
      </c>
      <c r="E559" t="s">
        <v>28</v>
      </c>
      <c r="F559" s="8">
        <v>1067000</v>
      </c>
      <c r="G559" t="s">
        <v>61</v>
      </c>
    </row>
    <row r="560" spans="1:7" x14ac:dyDescent="0.25">
      <c r="A560" t="s">
        <v>150</v>
      </c>
      <c r="B560" t="s">
        <v>29</v>
      </c>
      <c r="C560" t="s">
        <v>25</v>
      </c>
      <c r="D560" s="7">
        <v>45073</v>
      </c>
      <c r="E560" t="s">
        <v>47</v>
      </c>
      <c r="F560" s="8">
        <v>1039334.52</v>
      </c>
      <c r="G560" t="s">
        <v>61</v>
      </c>
    </row>
    <row r="561" spans="1:7" x14ac:dyDescent="0.25">
      <c r="A561" t="s">
        <v>150</v>
      </c>
      <c r="B561" t="s">
        <v>24</v>
      </c>
      <c r="C561" t="s">
        <v>25</v>
      </c>
      <c r="D561" s="7">
        <v>45075</v>
      </c>
      <c r="E561" t="s">
        <v>65</v>
      </c>
      <c r="F561" s="8">
        <v>860175</v>
      </c>
      <c r="G561" t="s">
        <v>61</v>
      </c>
    </row>
    <row r="562" spans="1:7" x14ac:dyDescent="0.25">
      <c r="A562" t="s">
        <v>150</v>
      </c>
      <c r="B562" t="s">
        <v>24</v>
      </c>
      <c r="C562" t="s">
        <v>30</v>
      </c>
      <c r="D562" s="7">
        <v>45076</v>
      </c>
      <c r="E562" t="s">
        <v>41</v>
      </c>
      <c r="F562" s="8">
        <v>190000</v>
      </c>
      <c r="G562" t="s">
        <v>61</v>
      </c>
    </row>
    <row r="563" spans="1:7" x14ac:dyDescent="0.25">
      <c r="A563" t="s">
        <v>150</v>
      </c>
      <c r="B563" t="s">
        <v>24</v>
      </c>
      <c r="C563" t="s">
        <v>30</v>
      </c>
      <c r="D563" s="7">
        <v>45076</v>
      </c>
      <c r="E563" t="s">
        <v>74</v>
      </c>
      <c r="F563" s="8">
        <v>1000000</v>
      </c>
      <c r="G563" t="s">
        <v>61</v>
      </c>
    </row>
    <row r="564" spans="1:7" x14ac:dyDescent="0.25">
      <c r="A564" t="s">
        <v>150</v>
      </c>
      <c r="B564" t="s">
        <v>24</v>
      </c>
      <c r="C564" t="s">
        <v>30</v>
      </c>
      <c r="D564" s="7">
        <v>45076</v>
      </c>
      <c r="E564" t="s">
        <v>38</v>
      </c>
      <c r="F564" s="8">
        <v>871400</v>
      </c>
      <c r="G564" t="s">
        <v>61</v>
      </c>
    </row>
    <row r="565" spans="1:7" x14ac:dyDescent="0.25">
      <c r="A565" t="s">
        <v>150</v>
      </c>
      <c r="B565" t="s">
        <v>29</v>
      </c>
      <c r="C565" t="s">
        <v>30</v>
      </c>
      <c r="D565" s="7">
        <v>45077</v>
      </c>
      <c r="E565" t="s">
        <v>38</v>
      </c>
      <c r="F565" s="8">
        <v>285714</v>
      </c>
      <c r="G565" t="s">
        <v>61</v>
      </c>
    </row>
    <row r="566" spans="1:7" x14ac:dyDescent="0.25">
      <c r="A566" t="s">
        <v>150</v>
      </c>
      <c r="B566" t="s">
        <v>29</v>
      </c>
      <c r="C566" t="s">
        <v>30</v>
      </c>
      <c r="D566" s="7">
        <v>45077</v>
      </c>
      <c r="E566" t="s">
        <v>66</v>
      </c>
      <c r="F566" s="8">
        <v>428571</v>
      </c>
      <c r="G566" t="s">
        <v>61</v>
      </c>
    </row>
    <row r="567" spans="1:7" x14ac:dyDescent="0.25">
      <c r="A567" t="s">
        <v>150</v>
      </c>
      <c r="B567" t="s">
        <v>29</v>
      </c>
      <c r="C567" t="s">
        <v>30</v>
      </c>
      <c r="D567" s="7">
        <v>45077</v>
      </c>
      <c r="E567" t="s">
        <v>74</v>
      </c>
      <c r="F567" s="8">
        <v>381024</v>
      </c>
      <c r="G567" t="s">
        <v>61</v>
      </c>
    </row>
    <row r="568" spans="1:7" x14ac:dyDescent="0.25">
      <c r="A568" t="s">
        <v>150</v>
      </c>
      <c r="B568" t="s">
        <v>24</v>
      </c>
      <c r="C568" t="s">
        <v>25</v>
      </c>
      <c r="D568" s="7">
        <v>45082</v>
      </c>
      <c r="E568" t="s">
        <v>28</v>
      </c>
      <c r="F568" s="8">
        <v>1446956</v>
      </c>
      <c r="G568" t="s">
        <v>61</v>
      </c>
    </row>
    <row r="569" spans="1:7" x14ac:dyDescent="0.25">
      <c r="A569" t="s">
        <v>150</v>
      </c>
      <c r="B569" t="s">
        <v>24</v>
      </c>
      <c r="C569" t="s">
        <v>30</v>
      </c>
      <c r="D569" s="7">
        <v>45097</v>
      </c>
      <c r="E569" t="s">
        <v>51</v>
      </c>
      <c r="F569" s="8">
        <v>358000</v>
      </c>
      <c r="G569" t="s">
        <v>61</v>
      </c>
    </row>
    <row r="570" spans="1:7" x14ac:dyDescent="0.25">
      <c r="A570" t="s">
        <v>150</v>
      </c>
      <c r="B570" t="s">
        <v>24</v>
      </c>
      <c r="C570" t="s">
        <v>25</v>
      </c>
      <c r="D570" s="7">
        <v>45105</v>
      </c>
      <c r="E570" t="s">
        <v>175</v>
      </c>
      <c r="F570" s="8">
        <v>987925</v>
      </c>
      <c r="G570" t="s">
        <v>61</v>
      </c>
    </row>
    <row r="571" spans="1:7" x14ac:dyDescent="0.25">
      <c r="A571" t="s">
        <v>150</v>
      </c>
      <c r="B571" t="s">
        <v>24</v>
      </c>
      <c r="C571" t="s">
        <v>25</v>
      </c>
      <c r="D571" s="7">
        <v>45105</v>
      </c>
      <c r="E571" t="s">
        <v>176</v>
      </c>
      <c r="F571" s="8">
        <v>688257</v>
      </c>
      <c r="G571" t="s">
        <v>61</v>
      </c>
    </row>
    <row r="572" spans="1:7" x14ac:dyDescent="0.25">
      <c r="A572" t="s">
        <v>150</v>
      </c>
      <c r="B572" t="s">
        <v>29</v>
      </c>
      <c r="C572" t="s">
        <v>30</v>
      </c>
      <c r="D572" s="7">
        <v>45107</v>
      </c>
      <c r="E572" t="s">
        <v>66</v>
      </c>
      <c r="F572" s="8">
        <v>413143</v>
      </c>
      <c r="G572" t="s">
        <v>61</v>
      </c>
    </row>
    <row r="573" spans="1:7" x14ac:dyDescent="0.25">
      <c r="A573" t="s">
        <v>150</v>
      </c>
      <c r="B573" t="s">
        <v>24</v>
      </c>
      <c r="C573" t="s">
        <v>25</v>
      </c>
      <c r="D573" s="7">
        <v>45125</v>
      </c>
      <c r="E573" t="s">
        <v>177</v>
      </c>
      <c r="F573" s="8">
        <v>66857.399999999994</v>
      </c>
      <c r="G573" t="s">
        <v>61</v>
      </c>
    </row>
    <row r="574" spans="1:7" x14ac:dyDescent="0.25">
      <c r="A574" t="s">
        <v>150</v>
      </c>
      <c r="B574" t="s">
        <v>24</v>
      </c>
      <c r="C574" t="s">
        <v>25</v>
      </c>
      <c r="D574" s="7">
        <v>45126</v>
      </c>
      <c r="E574" t="s">
        <v>178</v>
      </c>
      <c r="F574" s="8">
        <v>231866.56</v>
      </c>
      <c r="G574" t="s">
        <v>61</v>
      </c>
    </row>
    <row r="575" spans="1:7" x14ac:dyDescent="0.25">
      <c r="A575" t="s">
        <v>150</v>
      </c>
      <c r="B575" t="s">
        <v>24</v>
      </c>
      <c r="C575" t="s">
        <v>25</v>
      </c>
      <c r="D575" s="7">
        <v>45126</v>
      </c>
      <c r="E575" t="s">
        <v>33</v>
      </c>
      <c r="F575" s="8">
        <v>808857.4</v>
      </c>
      <c r="G575" t="s">
        <v>61</v>
      </c>
    </row>
    <row r="576" spans="1:7" x14ac:dyDescent="0.25">
      <c r="A576" t="s">
        <v>150</v>
      </c>
      <c r="B576" t="s">
        <v>24</v>
      </c>
      <c r="C576" t="s">
        <v>25</v>
      </c>
      <c r="D576" s="7">
        <v>45133</v>
      </c>
      <c r="E576" t="s">
        <v>64</v>
      </c>
      <c r="F576" s="8">
        <v>274619.90000000002</v>
      </c>
      <c r="G576" t="s">
        <v>61</v>
      </c>
    </row>
    <row r="577" spans="1:7" x14ac:dyDescent="0.25">
      <c r="A577" t="s">
        <v>150</v>
      </c>
      <c r="B577" t="s">
        <v>29</v>
      </c>
      <c r="C577" t="s">
        <v>30</v>
      </c>
      <c r="D577" s="7">
        <v>45138</v>
      </c>
      <c r="E577" t="s">
        <v>41</v>
      </c>
      <c r="F577" s="8">
        <v>433333.33</v>
      </c>
      <c r="G577" t="s">
        <v>61</v>
      </c>
    </row>
    <row r="578" spans="1:7" x14ac:dyDescent="0.25">
      <c r="A578" t="s">
        <v>150</v>
      </c>
      <c r="B578" t="s">
        <v>29</v>
      </c>
      <c r="C578" t="s">
        <v>30</v>
      </c>
      <c r="D578" s="7">
        <v>45139</v>
      </c>
      <c r="E578" t="s">
        <v>44</v>
      </c>
      <c r="F578" s="8">
        <v>376190.48</v>
      </c>
      <c r="G578" t="s">
        <v>61</v>
      </c>
    </row>
    <row r="579" spans="1:7" x14ac:dyDescent="0.25">
      <c r="A579" t="s">
        <v>150</v>
      </c>
      <c r="B579" t="s">
        <v>24</v>
      </c>
      <c r="C579" t="s">
        <v>25</v>
      </c>
      <c r="D579" s="7">
        <v>45141</v>
      </c>
      <c r="E579" t="s">
        <v>83</v>
      </c>
      <c r="F579" s="8">
        <v>182150</v>
      </c>
      <c r="G579" t="s">
        <v>61</v>
      </c>
    </row>
    <row r="580" spans="1:7" x14ac:dyDescent="0.25">
      <c r="A580" t="s">
        <v>150</v>
      </c>
      <c r="B580" t="s">
        <v>24</v>
      </c>
      <c r="C580" t="s">
        <v>25</v>
      </c>
      <c r="D580" s="7">
        <v>45145</v>
      </c>
      <c r="E580" t="s">
        <v>179</v>
      </c>
      <c r="F580" s="8">
        <v>334284</v>
      </c>
      <c r="G580" t="s">
        <v>61</v>
      </c>
    </row>
    <row r="581" spans="1:7" x14ac:dyDescent="0.25">
      <c r="A581" t="s">
        <v>150</v>
      </c>
      <c r="B581" t="s">
        <v>29</v>
      </c>
      <c r="C581" t="s">
        <v>30</v>
      </c>
      <c r="D581" s="7">
        <v>45145</v>
      </c>
      <c r="E581" t="s">
        <v>38</v>
      </c>
      <c r="F581" s="8">
        <v>1437088</v>
      </c>
      <c r="G581" t="s">
        <v>61</v>
      </c>
    </row>
    <row r="582" spans="1:7" x14ac:dyDescent="0.25">
      <c r="A582" t="s">
        <v>150</v>
      </c>
      <c r="B582" t="s">
        <v>24</v>
      </c>
      <c r="C582" t="s">
        <v>25</v>
      </c>
      <c r="D582" s="7">
        <v>45149</v>
      </c>
      <c r="E582" t="s">
        <v>50</v>
      </c>
      <c r="F582" s="8">
        <v>825806</v>
      </c>
      <c r="G582" t="s">
        <v>61</v>
      </c>
    </row>
    <row r="583" spans="1:7" x14ac:dyDescent="0.25">
      <c r="A583" t="s">
        <v>150</v>
      </c>
      <c r="B583" t="s">
        <v>29</v>
      </c>
      <c r="C583" t="s">
        <v>25</v>
      </c>
      <c r="D583" s="7">
        <v>45155</v>
      </c>
      <c r="E583" t="s">
        <v>54</v>
      </c>
      <c r="F583" s="8">
        <v>797238.15</v>
      </c>
      <c r="G583" t="s">
        <v>61</v>
      </c>
    </row>
    <row r="584" spans="1:7" x14ac:dyDescent="0.25">
      <c r="A584" t="s">
        <v>150</v>
      </c>
      <c r="B584" t="s">
        <v>24</v>
      </c>
      <c r="C584" t="s">
        <v>25</v>
      </c>
      <c r="D584" s="7">
        <v>45164</v>
      </c>
      <c r="E584" t="s">
        <v>177</v>
      </c>
      <c r="F584" s="8">
        <v>174800</v>
      </c>
      <c r="G584" t="s">
        <v>61</v>
      </c>
    </row>
    <row r="585" spans="1:7" x14ac:dyDescent="0.25">
      <c r="A585" t="s">
        <v>150</v>
      </c>
      <c r="B585" t="s">
        <v>24</v>
      </c>
      <c r="C585" t="s">
        <v>30</v>
      </c>
      <c r="D585" s="7">
        <v>45167</v>
      </c>
      <c r="E585" t="s">
        <v>180</v>
      </c>
      <c r="F585" s="8">
        <v>950000</v>
      </c>
      <c r="G585" t="s">
        <v>61</v>
      </c>
    </row>
    <row r="586" spans="1:7" x14ac:dyDescent="0.25">
      <c r="A586" t="s">
        <v>150</v>
      </c>
      <c r="B586" t="s">
        <v>29</v>
      </c>
      <c r="C586" t="s">
        <v>30</v>
      </c>
      <c r="D586" s="7">
        <v>45167</v>
      </c>
      <c r="E586" t="s">
        <v>75</v>
      </c>
      <c r="F586" s="8">
        <v>904761</v>
      </c>
      <c r="G586" t="s">
        <v>61</v>
      </c>
    </row>
    <row r="587" spans="1:7" x14ac:dyDescent="0.25">
      <c r="A587" t="s">
        <v>150</v>
      </c>
      <c r="B587" t="s">
        <v>29</v>
      </c>
      <c r="C587" t="s">
        <v>30</v>
      </c>
      <c r="D587" s="7">
        <v>45167</v>
      </c>
      <c r="E587" t="s">
        <v>74</v>
      </c>
      <c r="F587" s="8">
        <v>437059.2</v>
      </c>
      <c r="G587" t="s">
        <v>61</v>
      </c>
    </row>
    <row r="588" spans="1:7" x14ac:dyDescent="0.25">
      <c r="A588" t="s">
        <v>150</v>
      </c>
      <c r="B588" t="s">
        <v>29</v>
      </c>
      <c r="C588" t="s">
        <v>30</v>
      </c>
      <c r="D588" s="7">
        <v>45167</v>
      </c>
      <c r="E588" t="s">
        <v>75</v>
      </c>
      <c r="F588" s="8">
        <v>404762.28</v>
      </c>
      <c r="G588" t="s">
        <v>61</v>
      </c>
    </row>
    <row r="589" spans="1:7" x14ac:dyDescent="0.25">
      <c r="A589" t="s">
        <v>150</v>
      </c>
      <c r="B589" t="s">
        <v>29</v>
      </c>
      <c r="C589" t="s">
        <v>30</v>
      </c>
      <c r="D589" s="7">
        <v>45169</v>
      </c>
      <c r="E589" t="s">
        <v>41</v>
      </c>
      <c r="F589" s="8">
        <v>380952.38</v>
      </c>
      <c r="G589" t="s">
        <v>61</v>
      </c>
    </row>
    <row r="590" spans="1:7" x14ac:dyDescent="0.25">
      <c r="A590" t="s">
        <v>150</v>
      </c>
      <c r="B590" t="s">
        <v>29</v>
      </c>
      <c r="C590" t="s">
        <v>30</v>
      </c>
      <c r="D590" s="7">
        <v>45169</v>
      </c>
      <c r="E590" t="s">
        <v>181</v>
      </c>
      <c r="F590" s="8">
        <v>476190</v>
      </c>
      <c r="G590" t="s">
        <v>61</v>
      </c>
    </row>
    <row r="591" spans="1:7" x14ac:dyDescent="0.25">
      <c r="A591" t="s">
        <v>150</v>
      </c>
      <c r="B591" t="s">
        <v>29</v>
      </c>
      <c r="C591" t="s">
        <v>25</v>
      </c>
      <c r="D591" s="7">
        <v>45172</v>
      </c>
      <c r="E591" t="s">
        <v>71</v>
      </c>
      <c r="F591" s="8">
        <v>47619.040000000001</v>
      </c>
      <c r="G591" t="s">
        <v>61</v>
      </c>
    </row>
    <row r="592" spans="1:7" x14ac:dyDescent="0.25">
      <c r="A592" t="s">
        <v>150</v>
      </c>
      <c r="B592" t="s">
        <v>24</v>
      </c>
      <c r="C592" t="s">
        <v>25</v>
      </c>
      <c r="D592" s="7">
        <v>45174</v>
      </c>
      <c r="E592" t="s">
        <v>59</v>
      </c>
      <c r="F592" s="8">
        <v>389637</v>
      </c>
      <c r="G592" t="s">
        <v>61</v>
      </c>
    </row>
    <row r="593" spans="1:7" x14ac:dyDescent="0.25">
      <c r="A593" t="s">
        <v>150</v>
      </c>
      <c r="B593" t="s">
        <v>24</v>
      </c>
      <c r="C593" t="s">
        <v>25</v>
      </c>
      <c r="D593" s="7">
        <v>45174</v>
      </c>
      <c r="E593" t="s">
        <v>59</v>
      </c>
      <c r="F593" s="8">
        <v>82335.5</v>
      </c>
      <c r="G593" t="s">
        <v>61</v>
      </c>
    </row>
    <row r="594" spans="1:7" x14ac:dyDescent="0.25">
      <c r="A594" t="s">
        <v>150</v>
      </c>
      <c r="B594" t="s">
        <v>24</v>
      </c>
      <c r="C594" t="s">
        <v>25</v>
      </c>
      <c r="D594" s="7">
        <v>45185</v>
      </c>
      <c r="E594" t="s">
        <v>182</v>
      </c>
      <c r="F594" s="8">
        <v>649070</v>
      </c>
      <c r="G594" t="s">
        <v>61</v>
      </c>
    </row>
    <row r="595" spans="1:7" x14ac:dyDescent="0.25">
      <c r="A595" t="s">
        <v>150</v>
      </c>
      <c r="B595" t="s">
        <v>29</v>
      </c>
      <c r="C595" t="s">
        <v>30</v>
      </c>
      <c r="D595" s="7">
        <v>45199</v>
      </c>
      <c r="E595" t="s">
        <v>74</v>
      </c>
      <c r="F595" s="8">
        <v>714393.59999999998</v>
      </c>
      <c r="G595" t="s">
        <v>61</v>
      </c>
    </row>
    <row r="596" spans="1:7" x14ac:dyDescent="0.25">
      <c r="A596" t="s">
        <v>150</v>
      </c>
      <c r="B596" t="s">
        <v>29</v>
      </c>
      <c r="C596" t="s">
        <v>30</v>
      </c>
      <c r="D596" s="7">
        <v>45200</v>
      </c>
      <c r="E596" t="s">
        <v>183</v>
      </c>
      <c r="F596" s="8">
        <v>47428.800000000003</v>
      </c>
      <c r="G596" t="s">
        <v>61</v>
      </c>
    </row>
    <row r="597" spans="1:7" x14ac:dyDescent="0.25">
      <c r="A597" t="s">
        <v>150</v>
      </c>
      <c r="B597" t="s">
        <v>24</v>
      </c>
      <c r="C597" t="s">
        <v>25</v>
      </c>
      <c r="D597" s="7">
        <v>45201</v>
      </c>
      <c r="E597" t="s">
        <v>184</v>
      </c>
      <c r="F597" s="8">
        <v>78207.5</v>
      </c>
      <c r="G597" t="s">
        <v>61</v>
      </c>
    </row>
    <row r="598" spans="1:7" x14ac:dyDescent="0.25">
      <c r="A598" t="s">
        <v>150</v>
      </c>
      <c r="B598" t="s">
        <v>24</v>
      </c>
      <c r="C598" t="s">
        <v>25</v>
      </c>
      <c r="D598" s="7">
        <v>45203</v>
      </c>
      <c r="E598" t="s">
        <v>176</v>
      </c>
      <c r="F598" s="8">
        <v>315720</v>
      </c>
      <c r="G598" t="s">
        <v>61</v>
      </c>
    </row>
    <row r="599" spans="1:7" x14ac:dyDescent="0.25">
      <c r="A599" t="s">
        <v>150</v>
      </c>
      <c r="B599" t="s">
        <v>24</v>
      </c>
      <c r="C599" t="s">
        <v>25</v>
      </c>
      <c r="D599" s="7">
        <v>45204</v>
      </c>
      <c r="E599" t="s">
        <v>100</v>
      </c>
      <c r="F599" s="8">
        <v>691874</v>
      </c>
      <c r="G599" t="s">
        <v>61</v>
      </c>
    </row>
    <row r="600" spans="1:7" x14ac:dyDescent="0.25">
      <c r="A600" t="s">
        <v>150</v>
      </c>
      <c r="B600" t="s">
        <v>29</v>
      </c>
      <c r="C600" t="s">
        <v>30</v>
      </c>
      <c r="D600" s="7">
        <v>45208</v>
      </c>
      <c r="E600" t="s">
        <v>185</v>
      </c>
      <c r="F600" s="8">
        <v>761436</v>
      </c>
      <c r="G600" t="s">
        <v>61</v>
      </c>
    </row>
    <row r="601" spans="1:7" x14ac:dyDescent="0.25">
      <c r="A601" t="s">
        <v>150</v>
      </c>
      <c r="B601" t="s">
        <v>24</v>
      </c>
      <c r="C601" t="s">
        <v>25</v>
      </c>
      <c r="D601" s="7">
        <v>45212</v>
      </c>
      <c r="E601" t="s">
        <v>83</v>
      </c>
      <c r="F601" s="8">
        <v>412381</v>
      </c>
      <c r="G601" t="s">
        <v>61</v>
      </c>
    </row>
    <row r="602" spans="1:7" x14ac:dyDescent="0.25">
      <c r="A602" t="s">
        <v>150</v>
      </c>
      <c r="B602" t="s">
        <v>29</v>
      </c>
      <c r="C602" t="s">
        <v>30</v>
      </c>
      <c r="D602" s="7">
        <v>45213</v>
      </c>
      <c r="E602" t="s">
        <v>186</v>
      </c>
      <c r="F602" s="8">
        <v>1559192.4</v>
      </c>
      <c r="G602" t="s">
        <v>61</v>
      </c>
    </row>
    <row r="603" spans="1:7" x14ac:dyDescent="0.25">
      <c r="A603" t="s">
        <v>150</v>
      </c>
      <c r="B603" t="s">
        <v>24</v>
      </c>
      <c r="C603" t="s">
        <v>25</v>
      </c>
      <c r="D603" s="7">
        <v>45215</v>
      </c>
      <c r="E603" t="s">
        <v>59</v>
      </c>
      <c r="F603" s="8">
        <v>46800</v>
      </c>
      <c r="G603" t="s">
        <v>61</v>
      </c>
    </row>
    <row r="604" spans="1:7" x14ac:dyDescent="0.25">
      <c r="A604" t="s">
        <v>150</v>
      </c>
      <c r="B604" t="s">
        <v>187</v>
      </c>
      <c r="C604" t="s">
        <v>25</v>
      </c>
      <c r="D604" s="7">
        <v>45216</v>
      </c>
      <c r="E604" t="s">
        <v>188</v>
      </c>
      <c r="F604" s="8">
        <v>136754.78</v>
      </c>
      <c r="G604" t="s">
        <v>61</v>
      </c>
    </row>
    <row r="605" spans="1:7" x14ac:dyDescent="0.25">
      <c r="A605" t="s">
        <v>150</v>
      </c>
      <c r="B605" t="s">
        <v>24</v>
      </c>
      <c r="C605" t="s">
        <v>25</v>
      </c>
      <c r="D605" s="7">
        <v>45225</v>
      </c>
      <c r="E605" t="s">
        <v>182</v>
      </c>
      <c r="F605" s="8">
        <v>560429</v>
      </c>
      <c r="G605" t="s">
        <v>61</v>
      </c>
    </row>
    <row r="606" spans="1:7" x14ac:dyDescent="0.25">
      <c r="A606" t="s">
        <v>150</v>
      </c>
      <c r="B606" t="s">
        <v>24</v>
      </c>
      <c r="C606" t="s">
        <v>25</v>
      </c>
      <c r="D606" s="7">
        <v>45225</v>
      </c>
      <c r="E606" t="s">
        <v>182</v>
      </c>
      <c r="F606" s="8">
        <v>158661</v>
      </c>
      <c r="G606" t="s">
        <v>61</v>
      </c>
    </row>
    <row r="607" spans="1:7" x14ac:dyDescent="0.25">
      <c r="A607" t="s">
        <v>150</v>
      </c>
      <c r="B607" t="s">
        <v>24</v>
      </c>
      <c r="C607" t="s">
        <v>25</v>
      </c>
      <c r="D607" s="7">
        <v>45226</v>
      </c>
      <c r="E607" t="s">
        <v>189</v>
      </c>
      <c r="F607" s="8">
        <v>213333.34</v>
      </c>
      <c r="G607" t="s">
        <v>61</v>
      </c>
    </row>
    <row r="608" spans="1:7" x14ac:dyDescent="0.25">
      <c r="A608" t="s">
        <v>150</v>
      </c>
      <c r="B608" t="s">
        <v>29</v>
      </c>
      <c r="C608" t="s">
        <v>30</v>
      </c>
      <c r="D608" s="7">
        <v>45226</v>
      </c>
      <c r="E608" t="s">
        <v>41</v>
      </c>
      <c r="F608" s="8">
        <v>380952.38</v>
      </c>
      <c r="G608" t="s">
        <v>61</v>
      </c>
    </row>
    <row r="609" spans="1:7" x14ac:dyDescent="0.25">
      <c r="A609" t="s">
        <v>150</v>
      </c>
      <c r="B609" t="s">
        <v>24</v>
      </c>
      <c r="C609" t="s">
        <v>25</v>
      </c>
      <c r="D609" s="7">
        <v>45229</v>
      </c>
      <c r="E609" t="s">
        <v>100</v>
      </c>
      <c r="F609" s="8">
        <v>433138</v>
      </c>
      <c r="G609" t="s">
        <v>61</v>
      </c>
    </row>
    <row r="610" spans="1:7" x14ac:dyDescent="0.25">
      <c r="A610" t="s">
        <v>150</v>
      </c>
      <c r="B610" t="s">
        <v>24</v>
      </c>
      <c r="C610" t="s">
        <v>25</v>
      </c>
      <c r="D610" s="7">
        <v>45241</v>
      </c>
      <c r="E610" t="s">
        <v>83</v>
      </c>
      <c r="F610" s="8">
        <v>195859</v>
      </c>
      <c r="G610" t="s">
        <v>61</v>
      </c>
    </row>
    <row r="611" spans="1:7" x14ac:dyDescent="0.25">
      <c r="A611" t="s">
        <v>150</v>
      </c>
      <c r="B611" t="s">
        <v>29</v>
      </c>
      <c r="C611" t="s">
        <v>30</v>
      </c>
      <c r="D611" s="7">
        <v>45245</v>
      </c>
      <c r="E611" t="s">
        <v>95</v>
      </c>
      <c r="F611" s="8">
        <v>2255487</v>
      </c>
      <c r="G611" t="s">
        <v>61</v>
      </c>
    </row>
    <row r="612" spans="1:7" x14ac:dyDescent="0.25">
      <c r="A612" t="s">
        <v>150</v>
      </c>
      <c r="B612" t="s">
        <v>24</v>
      </c>
      <c r="C612" t="s">
        <v>25</v>
      </c>
      <c r="D612" s="7">
        <v>45246</v>
      </c>
      <c r="E612" t="s">
        <v>182</v>
      </c>
      <c r="F612" s="8">
        <v>596468</v>
      </c>
      <c r="G612" t="s">
        <v>61</v>
      </c>
    </row>
    <row r="613" spans="1:7" x14ac:dyDescent="0.25">
      <c r="A613" t="s">
        <v>150</v>
      </c>
      <c r="B613" t="s">
        <v>29</v>
      </c>
      <c r="C613" t="s">
        <v>30</v>
      </c>
      <c r="D613" s="7">
        <v>45246</v>
      </c>
      <c r="E613" t="s">
        <v>95</v>
      </c>
      <c r="F613" s="8">
        <v>2233635</v>
      </c>
      <c r="G613" t="s">
        <v>61</v>
      </c>
    </row>
    <row r="614" spans="1:7" x14ac:dyDescent="0.25">
      <c r="A614" t="s">
        <v>150</v>
      </c>
      <c r="B614" t="s">
        <v>24</v>
      </c>
      <c r="C614" t="s">
        <v>25</v>
      </c>
      <c r="D614" s="7">
        <v>45250</v>
      </c>
      <c r="E614" t="s">
        <v>28</v>
      </c>
      <c r="F614" s="8">
        <v>1360476</v>
      </c>
      <c r="G614" t="s">
        <v>61</v>
      </c>
    </row>
    <row r="615" spans="1:7" x14ac:dyDescent="0.25">
      <c r="A615" t="s">
        <v>150</v>
      </c>
      <c r="B615" t="s">
        <v>24</v>
      </c>
      <c r="C615" t="s">
        <v>25</v>
      </c>
      <c r="D615" s="7">
        <v>45257</v>
      </c>
      <c r="E615" t="s">
        <v>182</v>
      </c>
      <c r="F615" s="8">
        <v>139050</v>
      </c>
      <c r="G615" t="s">
        <v>61</v>
      </c>
    </row>
    <row r="616" spans="1:7" x14ac:dyDescent="0.25">
      <c r="A616" t="s">
        <v>150</v>
      </c>
      <c r="B616" t="s">
        <v>24</v>
      </c>
      <c r="C616" t="s">
        <v>25</v>
      </c>
      <c r="D616" s="7">
        <v>45258</v>
      </c>
      <c r="E616" t="s">
        <v>190</v>
      </c>
      <c r="F616" s="8">
        <v>150302</v>
      </c>
      <c r="G616" t="s">
        <v>61</v>
      </c>
    </row>
    <row r="617" spans="1:7" x14ac:dyDescent="0.25">
      <c r="A617" t="s">
        <v>150</v>
      </c>
      <c r="B617" t="s">
        <v>29</v>
      </c>
      <c r="C617" t="s">
        <v>30</v>
      </c>
      <c r="D617" s="7">
        <v>45260</v>
      </c>
      <c r="E617" t="s">
        <v>75</v>
      </c>
      <c r="F617" s="8">
        <v>904762</v>
      </c>
      <c r="G617" t="s">
        <v>61</v>
      </c>
    </row>
    <row r="618" spans="1:7" x14ac:dyDescent="0.25">
      <c r="A618" t="s">
        <v>150</v>
      </c>
      <c r="B618" t="s">
        <v>29</v>
      </c>
      <c r="C618" t="s">
        <v>25</v>
      </c>
      <c r="D618" s="7">
        <v>45260</v>
      </c>
      <c r="E618" t="s">
        <v>74</v>
      </c>
      <c r="F618" s="8">
        <v>1594239</v>
      </c>
      <c r="G618" t="s">
        <v>61</v>
      </c>
    </row>
    <row r="619" spans="1:7" x14ac:dyDescent="0.25">
      <c r="A619" t="s">
        <v>150</v>
      </c>
      <c r="B619" t="s">
        <v>24</v>
      </c>
      <c r="C619" t="s">
        <v>30</v>
      </c>
      <c r="D619" s="7">
        <v>45261</v>
      </c>
      <c r="E619" t="s">
        <v>41</v>
      </c>
      <c r="F619" s="8">
        <v>308380</v>
      </c>
      <c r="G619" t="s">
        <v>61</v>
      </c>
    </row>
    <row r="620" spans="1:7" x14ac:dyDescent="0.25">
      <c r="A620" t="s">
        <v>150</v>
      </c>
      <c r="B620" t="s">
        <v>24</v>
      </c>
      <c r="C620" t="s">
        <v>30</v>
      </c>
      <c r="D620" s="7">
        <v>45261</v>
      </c>
      <c r="E620" t="s">
        <v>74</v>
      </c>
      <c r="F620" s="8">
        <v>3021428.58</v>
      </c>
      <c r="G620" t="s">
        <v>61</v>
      </c>
    </row>
    <row r="621" spans="1:7" x14ac:dyDescent="0.25">
      <c r="A621" t="s">
        <v>150</v>
      </c>
      <c r="B621" t="s">
        <v>24</v>
      </c>
      <c r="C621" t="s">
        <v>25</v>
      </c>
      <c r="D621" s="7">
        <v>45261</v>
      </c>
      <c r="E621" t="s">
        <v>66</v>
      </c>
      <c r="F621" s="8">
        <v>936476.19</v>
      </c>
      <c r="G621" t="s">
        <v>61</v>
      </c>
    </row>
    <row r="622" spans="1:7" x14ac:dyDescent="0.25">
      <c r="A622" t="s">
        <v>150</v>
      </c>
      <c r="B622" t="s">
        <v>24</v>
      </c>
      <c r="C622" t="s">
        <v>25</v>
      </c>
      <c r="D622" s="7">
        <v>45264</v>
      </c>
      <c r="E622" t="s">
        <v>182</v>
      </c>
      <c r="F622" s="8">
        <v>277144</v>
      </c>
      <c r="G622" t="s">
        <v>61</v>
      </c>
    </row>
    <row r="623" spans="1:7" x14ac:dyDescent="0.25">
      <c r="A623" t="s">
        <v>150</v>
      </c>
      <c r="B623" t="s">
        <v>24</v>
      </c>
      <c r="C623" t="s">
        <v>25</v>
      </c>
      <c r="D623" s="7">
        <v>45264</v>
      </c>
      <c r="E623" t="s">
        <v>83</v>
      </c>
      <c r="F623" s="8">
        <v>308372</v>
      </c>
      <c r="G623" t="s">
        <v>61</v>
      </c>
    </row>
    <row r="624" spans="1:7" x14ac:dyDescent="0.25">
      <c r="A624" t="s">
        <v>150</v>
      </c>
      <c r="B624" t="s">
        <v>24</v>
      </c>
      <c r="C624" t="s">
        <v>25</v>
      </c>
      <c r="D624" s="7">
        <v>45266</v>
      </c>
      <c r="E624" t="s">
        <v>190</v>
      </c>
      <c r="F624" s="8">
        <v>149999</v>
      </c>
      <c r="G624" t="s">
        <v>61</v>
      </c>
    </row>
    <row r="625" spans="1:7" x14ac:dyDescent="0.25">
      <c r="A625" t="s">
        <v>150</v>
      </c>
      <c r="B625" t="s">
        <v>24</v>
      </c>
      <c r="C625" t="s">
        <v>25</v>
      </c>
      <c r="D625" s="7">
        <v>45266</v>
      </c>
      <c r="E625" t="s">
        <v>191</v>
      </c>
      <c r="F625" s="8">
        <v>110467.9</v>
      </c>
      <c r="G625" t="s">
        <v>61</v>
      </c>
    </row>
    <row r="626" spans="1:7" x14ac:dyDescent="0.25">
      <c r="A626" t="s">
        <v>150</v>
      </c>
      <c r="B626" t="s">
        <v>24</v>
      </c>
      <c r="C626" t="s">
        <v>25</v>
      </c>
      <c r="D626" s="7">
        <v>45269</v>
      </c>
      <c r="E626" t="s">
        <v>192</v>
      </c>
      <c r="F626" s="8">
        <v>14285.71</v>
      </c>
      <c r="G626" t="s">
        <v>61</v>
      </c>
    </row>
    <row r="627" spans="1:7" x14ac:dyDescent="0.25">
      <c r="A627" t="s">
        <v>150</v>
      </c>
      <c r="B627" t="s">
        <v>24</v>
      </c>
      <c r="C627" t="s">
        <v>25</v>
      </c>
      <c r="D627" s="7">
        <v>45269</v>
      </c>
      <c r="E627" t="s">
        <v>190</v>
      </c>
      <c r="F627" s="8">
        <v>285371</v>
      </c>
      <c r="G627" t="s">
        <v>61</v>
      </c>
    </row>
    <row r="628" spans="1:7" x14ac:dyDescent="0.25">
      <c r="A628" t="s">
        <v>150</v>
      </c>
      <c r="B628" t="s">
        <v>24</v>
      </c>
      <c r="C628" t="s">
        <v>25</v>
      </c>
      <c r="D628" s="7">
        <v>45271</v>
      </c>
      <c r="E628" t="s">
        <v>193</v>
      </c>
      <c r="F628" s="8">
        <v>765000</v>
      </c>
      <c r="G628" t="s">
        <v>61</v>
      </c>
    </row>
    <row r="629" spans="1:7" x14ac:dyDescent="0.25">
      <c r="A629" t="s">
        <v>150</v>
      </c>
      <c r="B629" t="s">
        <v>24</v>
      </c>
      <c r="C629" t="s">
        <v>25</v>
      </c>
      <c r="D629" s="7">
        <v>45272</v>
      </c>
      <c r="E629" t="s">
        <v>176</v>
      </c>
      <c r="F629" s="8">
        <v>456571.3</v>
      </c>
      <c r="G629" t="s">
        <v>61</v>
      </c>
    </row>
    <row r="630" spans="1:7" x14ac:dyDescent="0.25">
      <c r="A630" t="s">
        <v>150</v>
      </c>
      <c r="B630" t="s">
        <v>24</v>
      </c>
      <c r="C630" t="s">
        <v>25</v>
      </c>
      <c r="D630" s="7">
        <v>45272</v>
      </c>
      <c r="E630" t="s">
        <v>182</v>
      </c>
      <c r="F630" s="8">
        <v>385532</v>
      </c>
      <c r="G630" t="s">
        <v>61</v>
      </c>
    </row>
    <row r="631" spans="1:7" x14ac:dyDescent="0.25">
      <c r="A631" t="s">
        <v>150</v>
      </c>
      <c r="B631" t="s">
        <v>187</v>
      </c>
      <c r="C631" t="s">
        <v>25</v>
      </c>
      <c r="D631" s="7">
        <v>45276</v>
      </c>
      <c r="E631" t="s">
        <v>188</v>
      </c>
      <c r="F631" s="8">
        <v>703665.11</v>
      </c>
      <c r="G631" t="s">
        <v>61</v>
      </c>
    </row>
    <row r="632" spans="1:7" x14ac:dyDescent="0.25">
      <c r="A632" t="s">
        <v>150</v>
      </c>
      <c r="B632" t="s">
        <v>24</v>
      </c>
      <c r="C632" t="s">
        <v>25</v>
      </c>
      <c r="D632" s="7">
        <v>45283</v>
      </c>
      <c r="E632" t="s">
        <v>73</v>
      </c>
      <c r="F632" s="8">
        <v>368290</v>
      </c>
      <c r="G632" t="s">
        <v>61</v>
      </c>
    </row>
    <row r="633" spans="1:7" x14ac:dyDescent="0.25">
      <c r="A633" t="s">
        <v>150</v>
      </c>
      <c r="B633" t="s">
        <v>24</v>
      </c>
      <c r="C633" t="s">
        <v>25</v>
      </c>
      <c r="D633" s="7">
        <v>45286</v>
      </c>
      <c r="E633" t="s">
        <v>190</v>
      </c>
      <c r="F633" s="8">
        <v>131143.1</v>
      </c>
      <c r="G633" t="s">
        <v>61</v>
      </c>
    </row>
    <row r="634" spans="1:7" x14ac:dyDescent="0.25">
      <c r="A634" t="s">
        <v>150</v>
      </c>
      <c r="B634" t="s">
        <v>24</v>
      </c>
      <c r="C634" t="s">
        <v>25</v>
      </c>
      <c r="D634" s="7">
        <v>45287</v>
      </c>
      <c r="E634" t="s">
        <v>64</v>
      </c>
      <c r="F634" s="8">
        <v>266195</v>
      </c>
      <c r="G634" t="s">
        <v>61</v>
      </c>
    </row>
    <row r="635" spans="1:7" x14ac:dyDescent="0.25">
      <c r="A635" t="s">
        <v>150</v>
      </c>
      <c r="B635" t="s">
        <v>24</v>
      </c>
      <c r="C635" t="s">
        <v>25</v>
      </c>
      <c r="D635" s="7">
        <v>45289</v>
      </c>
      <c r="E635" t="s">
        <v>182</v>
      </c>
      <c r="F635" s="8">
        <v>400925</v>
      </c>
      <c r="G635" t="s">
        <v>61</v>
      </c>
    </row>
    <row r="636" spans="1:7" x14ac:dyDescent="0.25">
      <c r="A636" t="s">
        <v>150</v>
      </c>
      <c r="B636" t="s">
        <v>29</v>
      </c>
      <c r="C636" t="s">
        <v>25</v>
      </c>
      <c r="D636" s="7">
        <v>45291</v>
      </c>
      <c r="E636" t="s">
        <v>41</v>
      </c>
      <c r="F636" s="8">
        <v>285714.55</v>
      </c>
      <c r="G636" t="s">
        <v>61</v>
      </c>
    </row>
    <row r="637" spans="1:7" x14ac:dyDescent="0.25">
      <c r="A637" t="s">
        <v>150</v>
      </c>
      <c r="B637" t="s">
        <v>187</v>
      </c>
      <c r="C637" t="s">
        <v>25</v>
      </c>
      <c r="D637" s="7">
        <v>45293</v>
      </c>
      <c r="E637" t="s">
        <v>194</v>
      </c>
      <c r="F637" s="8">
        <v>603142.38</v>
      </c>
      <c r="G637" t="s">
        <v>61</v>
      </c>
    </row>
    <row r="638" spans="1:7" x14ac:dyDescent="0.25">
      <c r="A638" t="s">
        <v>150</v>
      </c>
      <c r="B638" t="s">
        <v>24</v>
      </c>
      <c r="C638" t="s">
        <v>25</v>
      </c>
      <c r="D638" s="7">
        <v>45296</v>
      </c>
      <c r="E638" t="s">
        <v>50</v>
      </c>
      <c r="F638" s="8">
        <v>615512</v>
      </c>
      <c r="G638" t="s">
        <v>61</v>
      </c>
    </row>
    <row r="639" spans="1:7" x14ac:dyDescent="0.25">
      <c r="A639" t="s">
        <v>150</v>
      </c>
      <c r="B639" t="s">
        <v>24</v>
      </c>
      <c r="C639" t="s">
        <v>25</v>
      </c>
      <c r="D639" s="7">
        <v>45300</v>
      </c>
      <c r="E639" t="s">
        <v>182</v>
      </c>
      <c r="F639" s="8">
        <v>361619.20000000001</v>
      </c>
      <c r="G639" t="s">
        <v>61</v>
      </c>
    </row>
    <row r="640" spans="1:7" x14ac:dyDescent="0.25">
      <c r="A640" t="s">
        <v>150</v>
      </c>
      <c r="B640" t="s">
        <v>24</v>
      </c>
      <c r="C640" t="s">
        <v>25</v>
      </c>
      <c r="D640" s="7">
        <v>45302</v>
      </c>
      <c r="E640" t="s">
        <v>191</v>
      </c>
      <c r="F640" s="8">
        <v>194428.4</v>
      </c>
      <c r="G640" t="s">
        <v>61</v>
      </c>
    </row>
    <row r="641" spans="1:7" x14ac:dyDescent="0.25">
      <c r="A641" t="s">
        <v>150</v>
      </c>
      <c r="B641" t="s">
        <v>24</v>
      </c>
      <c r="C641" t="s">
        <v>25</v>
      </c>
      <c r="D641" s="7">
        <v>45303</v>
      </c>
      <c r="E641" t="s">
        <v>190</v>
      </c>
      <c r="F641" s="8">
        <v>337000</v>
      </c>
      <c r="G641" t="s">
        <v>61</v>
      </c>
    </row>
    <row r="642" spans="1:7" x14ac:dyDescent="0.25">
      <c r="A642" t="s">
        <v>150</v>
      </c>
      <c r="B642" t="s">
        <v>29</v>
      </c>
      <c r="C642" t="s">
        <v>25</v>
      </c>
      <c r="D642" s="7">
        <v>45303</v>
      </c>
      <c r="E642" t="s">
        <v>180</v>
      </c>
      <c r="F642" s="8">
        <v>952381.02</v>
      </c>
      <c r="G642" t="s">
        <v>61</v>
      </c>
    </row>
    <row r="643" spans="1:7" x14ac:dyDescent="0.25">
      <c r="A643" t="s">
        <v>150</v>
      </c>
      <c r="B643" t="s">
        <v>24</v>
      </c>
      <c r="C643" t="s">
        <v>25</v>
      </c>
      <c r="D643" s="7">
        <v>45313</v>
      </c>
      <c r="E643" t="s">
        <v>193</v>
      </c>
      <c r="F643" s="8">
        <v>523810</v>
      </c>
      <c r="G643" t="s">
        <v>61</v>
      </c>
    </row>
    <row r="644" spans="1:7" x14ac:dyDescent="0.25">
      <c r="A644" t="s">
        <v>150</v>
      </c>
      <c r="B644" t="s">
        <v>24</v>
      </c>
      <c r="C644" t="s">
        <v>25</v>
      </c>
      <c r="D644" s="7">
        <v>45314</v>
      </c>
      <c r="E644" t="s">
        <v>83</v>
      </c>
      <c r="F644" s="8">
        <v>303713.90000000002</v>
      </c>
      <c r="G644" t="s">
        <v>61</v>
      </c>
    </row>
    <row r="645" spans="1:7" x14ac:dyDescent="0.25">
      <c r="A645" t="s">
        <v>150</v>
      </c>
      <c r="B645" t="s">
        <v>24</v>
      </c>
      <c r="C645" t="s">
        <v>25</v>
      </c>
      <c r="D645" s="7">
        <v>45320</v>
      </c>
      <c r="E645" t="s">
        <v>193</v>
      </c>
      <c r="F645" s="8">
        <v>521903.8</v>
      </c>
      <c r="G645" t="s">
        <v>61</v>
      </c>
    </row>
    <row r="646" spans="1:7" x14ac:dyDescent="0.25">
      <c r="A646" t="s">
        <v>150</v>
      </c>
      <c r="B646" t="s">
        <v>24</v>
      </c>
      <c r="C646" t="s">
        <v>25</v>
      </c>
      <c r="D646" s="7">
        <v>45320</v>
      </c>
      <c r="E646" t="s">
        <v>73</v>
      </c>
      <c r="F646" s="8">
        <v>157525</v>
      </c>
      <c r="G646" t="s">
        <v>61</v>
      </c>
    </row>
    <row r="647" spans="1:7" x14ac:dyDescent="0.25">
      <c r="A647" t="s">
        <v>150</v>
      </c>
      <c r="B647" t="s">
        <v>24</v>
      </c>
      <c r="C647" t="s">
        <v>25</v>
      </c>
      <c r="D647" s="7">
        <v>45321</v>
      </c>
      <c r="E647" t="s">
        <v>28</v>
      </c>
      <c r="F647" s="8">
        <v>476200</v>
      </c>
      <c r="G647" t="s">
        <v>61</v>
      </c>
    </row>
    <row r="648" spans="1:7" x14ac:dyDescent="0.25">
      <c r="A648" t="s">
        <v>150</v>
      </c>
      <c r="B648" t="s">
        <v>29</v>
      </c>
      <c r="C648" t="s">
        <v>30</v>
      </c>
      <c r="D648" s="7">
        <v>45322</v>
      </c>
      <c r="E648" t="s">
        <v>66</v>
      </c>
      <c r="F648" s="8">
        <v>3110190</v>
      </c>
      <c r="G648" t="s">
        <v>61</v>
      </c>
    </row>
    <row r="649" spans="1:7" x14ac:dyDescent="0.25">
      <c r="A649" t="s">
        <v>150</v>
      </c>
      <c r="B649" t="s">
        <v>29</v>
      </c>
      <c r="C649" t="s">
        <v>30</v>
      </c>
      <c r="D649" s="7">
        <v>45322</v>
      </c>
      <c r="E649" t="s">
        <v>38</v>
      </c>
      <c r="F649" s="8">
        <v>758095</v>
      </c>
      <c r="G649" t="s">
        <v>61</v>
      </c>
    </row>
    <row r="650" spans="1:7" x14ac:dyDescent="0.25">
      <c r="A650" t="s">
        <v>150</v>
      </c>
      <c r="B650" t="s">
        <v>29</v>
      </c>
      <c r="C650" t="s">
        <v>30</v>
      </c>
      <c r="D650" s="7">
        <v>45325</v>
      </c>
      <c r="E650" t="s">
        <v>89</v>
      </c>
      <c r="F650" s="8">
        <v>3060117.5</v>
      </c>
      <c r="G650" t="s">
        <v>61</v>
      </c>
    </row>
    <row r="651" spans="1:7" x14ac:dyDescent="0.25">
      <c r="A651" t="s">
        <v>150</v>
      </c>
      <c r="B651" t="s">
        <v>24</v>
      </c>
      <c r="C651" t="s">
        <v>25</v>
      </c>
      <c r="D651" s="7">
        <v>45328</v>
      </c>
      <c r="E651" t="s">
        <v>73</v>
      </c>
      <c r="F651" s="8">
        <v>549390.5</v>
      </c>
      <c r="G651" t="s">
        <v>61</v>
      </c>
    </row>
    <row r="652" spans="1:7" x14ac:dyDescent="0.25">
      <c r="A652" t="s">
        <v>150</v>
      </c>
      <c r="B652" t="s">
        <v>24</v>
      </c>
      <c r="C652" t="s">
        <v>25</v>
      </c>
      <c r="D652" s="7">
        <v>45332</v>
      </c>
      <c r="E652" t="s">
        <v>191</v>
      </c>
      <c r="F652" s="8">
        <v>167048.9</v>
      </c>
      <c r="G652" t="s">
        <v>61</v>
      </c>
    </row>
    <row r="653" spans="1:7" x14ac:dyDescent="0.25">
      <c r="A653" t="s">
        <v>150</v>
      </c>
      <c r="B653" t="s">
        <v>24</v>
      </c>
      <c r="C653" t="s">
        <v>25</v>
      </c>
      <c r="D653" s="7">
        <v>45338</v>
      </c>
      <c r="E653" t="s">
        <v>195</v>
      </c>
      <c r="F653" s="8">
        <v>99190.399999999994</v>
      </c>
      <c r="G653" t="s">
        <v>61</v>
      </c>
    </row>
    <row r="654" spans="1:7" x14ac:dyDescent="0.25">
      <c r="A654" t="s">
        <v>150</v>
      </c>
      <c r="B654" t="s">
        <v>29</v>
      </c>
      <c r="C654" t="s">
        <v>30</v>
      </c>
      <c r="D654" s="7">
        <v>45338</v>
      </c>
      <c r="E654" t="s">
        <v>74</v>
      </c>
      <c r="F654" s="8">
        <v>474509.8</v>
      </c>
      <c r="G654" t="s">
        <v>61</v>
      </c>
    </row>
    <row r="655" spans="1:7" x14ac:dyDescent="0.25">
      <c r="A655" t="s">
        <v>150</v>
      </c>
      <c r="B655" t="s">
        <v>24</v>
      </c>
      <c r="C655" t="s">
        <v>25</v>
      </c>
      <c r="D655" s="7">
        <v>45344</v>
      </c>
      <c r="E655" t="s">
        <v>88</v>
      </c>
      <c r="F655" s="8">
        <v>98000</v>
      </c>
      <c r="G655" t="s">
        <v>61</v>
      </c>
    </row>
    <row r="656" spans="1:7" x14ac:dyDescent="0.25">
      <c r="A656" t="s">
        <v>150</v>
      </c>
      <c r="B656" t="s">
        <v>24</v>
      </c>
      <c r="C656" t="s">
        <v>25</v>
      </c>
      <c r="D656" s="7">
        <v>45350</v>
      </c>
      <c r="E656" t="s">
        <v>182</v>
      </c>
      <c r="F656" s="8">
        <v>198571</v>
      </c>
      <c r="G656" t="s">
        <v>61</v>
      </c>
    </row>
    <row r="657" spans="1:7" x14ac:dyDescent="0.25">
      <c r="A657" t="s">
        <v>150</v>
      </c>
      <c r="B657" t="s">
        <v>24</v>
      </c>
      <c r="C657" t="s">
        <v>25</v>
      </c>
      <c r="D657" s="7">
        <v>45350</v>
      </c>
      <c r="E657" t="s">
        <v>196</v>
      </c>
      <c r="F657" s="8">
        <v>10476.200000000001</v>
      </c>
      <c r="G657" t="s">
        <v>61</v>
      </c>
    </row>
    <row r="658" spans="1:7" x14ac:dyDescent="0.25">
      <c r="A658" t="s">
        <v>150</v>
      </c>
      <c r="B658" t="s">
        <v>24</v>
      </c>
      <c r="C658" t="s">
        <v>30</v>
      </c>
      <c r="D658" s="7">
        <v>45351</v>
      </c>
      <c r="E658" t="s">
        <v>66</v>
      </c>
      <c r="F658" s="8">
        <v>238100</v>
      </c>
      <c r="G658" t="s">
        <v>61</v>
      </c>
    </row>
    <row r="659" spans="1:7" x14ac:dyDescent="0.25">
      <c r="A659" t="s">
        <v>150</v>
      </c>
      <c r="B659" t="s">
        <v>24</v>
      </c>
      <c r="C659" t="s">
        <v>30</v>
      </c>
      <c r="D659" s="7">
        <v>45351</v>
      </c>
      <c r="E659" t="s">
        <v>74</v>
      </c>
      <c r="F659" s="8">
        <v>1714286</v>
      </c>
      <c r="G659" t="s">
        <v>61</v>
      </c>
    </row>
    <row r="660" spans="1:7" x14ac:dyDescent="0.25">
      <c r="A660" t="s">
        <v>150</v>
      </c>
      <c r="B660" t="s">
        <v>24</v>
      </c>
      <c r="C660" t="s">
        <v>30</v>
      </c>
      <c r="D660" s="7">
        <v>45351</v>
      </c>
      <c r="E660" t="s">
        <v>41</v>
      </c>
      <c r="F660" s="8">
        <v>466667</v>
      </c>
      <c r="G660" t="s">
        <v>61</v>
      </c>
    </row>
    <row r="661" spans="1:7" x14ac:dyDescent="0.25">
      <c r="A661" t="s">
        <v>150</v>
      </c>
      <c r="B661" t="s">
        <v>24</v>
      </c>
      <c r="C661" t="s">
        <v>30</v>
      </c>
      <c r="D661" s="7">
        <v>45351</v>
      </c>
      <c r="E661" t="s">
        <v>197</v>
      </c>
      <c r="F661" s="8">
        <v>152381</v>
      </c>
      <c r="G661" t="s">
        <v>61</v>
      </c>
    </row>
    <row r="662" spans="1:7" x14ac:dyDescent="0.25">
      <c r="A662" t="s">
        <v>150</v>
      </c>
      <c r="B662" t="s">
        <v>24</v>
      </c>
      <c r="C662" t="s">
        <v>25</v>
      </c>
      <c r="D662" s="7">
        <v>45351</v>
      </c>
      <c r="E662" t="s">
        <v>83</v>
      </c>
      <c r="F662" s="8">
        <v>294090</v>
      </c>
      <c r="G662" t="s">
        <v>61</v>
      </c>
    </row>
    <row r="663" spans="1:7" x14ac:dyDescent="0.25">
      <c r="A663" t="s">
        <v>150</v>
      </c>
      <c r="B663" t="s">
        <v>24</v>
      </c>
      <c r="C663" t="s">
        <v>25</v>
      </c>
      <c r="D663" s="7">
        <v>45356</v>
      </c>
      <c r="E663" t="s">
        <v>88</v>
      </c>
      <c r="F663" s="8">
        <v>119047.5</v>
      </c>
      <c r="G663" t="s">
        <v>61</v>
      </c>
    </row>
    <row r="664" spans="1:7" x14ac:dyDescent="0.25">
      <c r="A664" t="s">
        <v>150</v>
      </c>
      <c r="B664" t="s">
        <v>29</v>
      </c>
      <c r="C664" t="s">
        <v>30</v>
      </c>
      <c r="D664" s="7">
        <v>45356</v>
      </c>
      <c r="E664" t="s">
        <v>198</v>
      </c>
      <c r="F664" s="8">
        <v>405000</v>
      </c>
      <c r="G664" t="s">
        <v>61</v>
      </c>
    </row>
    <row r="665" spans="1:7" x14ac:dyDescent="0.25">
      <c r="A665" t="s">
        <v>150</v>
      </c>
      <c r="B665" t="s">
        <v>24</v>
      </c>
      <c r="C665" t="s">
        <v>25</v>
      </c>
      <c r="D665" s="7">
        <v>45357</v>
      </c>
      <c r="E665" t="s">
        <v>73</v>
      </c>
      <c r="F665" s="8">
        <v>182286</v>
      </c>
      <c r="G665" t="s">
        <v>61</v>
      </c>
    </row>
    <row r="666" spans="1:7" x14ac:dyDescent="0.25">
      <c r="A666" t="s">
        <v>150</v>
      </c>
      <c r="B666" t="s">
        <v>24</v>
      </c>
      <c r="C666" t="s">
        <v>25</v>
      </c>
      <c r="D666" s="7">
        <v>45363</v>
      </c>
      <c r="E666" t="s">
        <v>73</v>
      </c>
      <c r="F666" s="8">
        <v>216190</v>
      </c>
      <c r="G666" t="s">
        <v>61</v>
      </c>
    </row>
    <row r="667" spans="1:7" x14ac:dyDescent="0.25">
      <c r="A667" t="s">
        <v>150</v>
      </c>
      <c r="B667" t="s">
        <v>24</v>
      </c>
      <c r="C667" t="s">
        <v>25</v>
      </c>
      <c r="D667" s="7">
        <v>45364</v>
      </c>
      <c r="E667" t="s">
        <v>182</v>
      </c>
      <c r="F667" s="8">
        <v>660489</v>
      </c>
      <c r="G667" t="s">
        <v>61</v>
      </c>
    </row>
    <row r="668" spans="1:7" x14ac:dyDescent="0.25">
      <c r="A668" t="s">
        <v>150</v>
      </c>
      <c r="B668" t="s">
        <v>24</v>
      </c>
      <c r="C668" t="s">
        <v>25</v>
      </c>
      <c r="D668" s="7">
        <v>45372</v>
      </c>
      <c r="E668" t="s">
        <v>64</v>
      </c>
      <c r="F668" s="8">
        <v>239095.1</v>
      </c>
      <c r="G668" t="s">
        <v>61</v>
      </c>
    </row>
    <row r="669" spans="1:7" x14ac:dyDescent="0.25">
      <c r="A669" t="s">
        <v>150</v>
      </c>
      <c r="B669" t="s">
        <v>24</v>
      </c>
      <c r="C669" t="s">
        <v>30</v>
      </c>
      <c r="D669" s="7">
        <v>45381</v>
      </c>
      <c r="E669" t="s">
        <v>197</v>
      </c>
      <c r="F669" s="8">
        <v>72236.2</v>
      </c>
      <c r="G669" t="s">
        <v>61</v>
      </c>
    </row>
    <row r="670" spans="1:7" x14ac:dyDescent="0.25">
      <c r="A670" t="s">
        <v>150</v>
      </c>
      <c r="B670" t="s">
        <v>24</v>
      </c>
      <c r="C670" t="s">
        <v>25</v>
      </c>
      <c r="D670" s="7">
        <v>45383</v>
      </c>
      <c r="E670" t="s">
        <v>50</v>
      </c>
      <c r="F670" s="8">
        <v>630952</v>
      </c>
      <c r="G670" t="s">
        <v>94</v>
      </c>
    </row>
    <row r="671" spans="1:7" x14ac:dyDescent="0.25">
      <c r="A671" t="s">
        <v>150</v>
      </c>
      <c r="B671" t="s">
        <v>24</v>
      </c>
      <c r="C671" t="s">
        <v>25</v>
      </c>
      <c r="D671" s="7">
        <v>45383</v>
      </c>
      <c r="E671" t="s">
        <v>88</v>
      </c>
      <c r="F671" s="8">
        <v>235239</v>
      </c>
      <c r="G671" t="s">
        <v>94</v>
      </c>
    </row>
    <row r="672" spans="1:7" x14ac:dyDescent="0.25">
      <c r="A672" t="s">
        <v>150</v>
      </c>
      <c r="B672" t="s">
        <v>29</v>
      </c>
      <c r="C672" t="s">
        <v>30</v>
      </c>
      <c r="D672" s="7">
        <v>45385</v>
      </c>
      <c r="E672" t="s">
        <v>186</v>
      </c>
      <c r="F672" s="8">
        <v>3229955</v>
      </c>
      <c r="G672" t="s">
        <v>94</v>
      </c>
    </row>
    <row r="673" spans="1:7" x14ac:dyDescent="0.25">
      <c r="A673" t="s">
        <v>150</v>
      </c>
      <c r="B673" t="s">
        <v>29</v>
      </c>
      <c r="C673" t="s">
        <v>30</v>
      </c>
      <c r="D673" s="7">
        <v>45385</v>
      </c>
      <c r="E673" t="s">
        <v>186</v>
      </c>
      <c r="F673" s="8">
        <v>427011</v>
      </c>
      <c r="G673" t="s">
        <v>94</v>
      </c>
    </row>
    <row r="674" spans="1:7" x14ac:dyDescent="0.25">
      <c r="A674" t="s">
        <v>150</v>
      </c>
      <c r="B674" t="s">
        <v>24</v>
      </c>
      <c r="C674" t="s">
        <v>25</v>
      </c>
      <c r="D674" s="7">
        <v>45394</v>
      </c>
      <c r="E674" t="s">
        <v>199</v>
      </c>
      <c r="F674" s="8">
        <v>147714.6</v>
      </c>
      <c r="G674" t="s">
        <v>94</v>
      </c>
    </row>
    <row r="675" spans="1:7" x14ac:dyDescent="0.25">
      <c r="A675" t="s">
        <v>150</v>
      </c>
      <c r="B675" t="s">
        <v>29</v>
      </c>
      <c r="C675" t="s">
        <v>25</v>
      </c>
      <c r="D675" s="7">
        <v>45397</v>
      </c>
      <c r="E675" t="s">
        <v>195</v>
      </c>
      <c r="F675" s="8">
        <v>43000</v>
      </c>
      <c r="G675" t="s">
        <v>94</v>
      </c>
    </row>
    <row r="676" spans="1:7" x14ac:dyDescent="0.25">
      <c r="A676" t="s">
        <v>150</v>
      </c>
      <c r="B676" t="s">
        <v>24</v>
      </c>
      <c r="C676" t="s">
        <v>25</v>
      </c>
      <c r="D676" s="7">
        <v>45400</v>
      </c>
      <c r="E676" t="s">
        <v>199</v>
      </c>
      <c r="F676" s="8">
        <v>157650</v>
      </c>
      <c r="G676" t="s">
        <v>94</v>
      </c>
    </row>
    <row r="677" spans="1:7" x14ac:dyDescent="0.25">
      <c r="A677" t="s">
        <v>150</v>
      </c>
      <c r="B677" t="s">
        <v>24</v>
      </c>
      <c r="C677" t="s">
        <v>25</v>
      </c>
      <c r="D677" s="7">
        <v>45401</v>
      </c>
      <c r="E677" t="s">
        <v>88</v>
      </c>
      <c r="F677" s="8">
        <v>154763</v>
      </c>
      <c r="G677" t="s">
        <v>94</v>
      </c>
    </row>
    <row r="678" spans="1:7" x14ac:dyDescent="0.25">
      <c r="A678" t="s">
        <v>150</v>
      </c>
      <c r="B678" t="s">
        <v>24</v>
      </c>
      <c r="C678" t="s">
        <v>25</v>
      </c>
      <c r="D678" s="7">
        <v>45401</v>
      </c>
      <c r="E678" t="s">
        <v>182</v>
      </c>
      <c r="F678" s="8">
        <v>372645</v>
      </c>
      <c r="G678" t="s">
        <v>94</v>
      </c>
    </row>
    <row r="679" spans="1:7" x14ac:dyDescent="0.25">
      <c r="A679" t="s">
        <v>150</v>
      </c>
      <c r="B679" t="s">
        <v>24</v>
      </c>
      <c r="C679" t="s">
        <v>25</v>
      </c>
      <c r="D679" s="7">
        <v>45412</v>
      </c>
      <c r="E679" t="s">
        <v>100</v>
      </c>
      <c r="F679" s="8">
        <v>518100</v>
      </c>
      <c r="G679" t="s">
        <v>94</v>
      </c>
    </row>
    <row r="680" spans="1:7" x14ac:dyDescent="0.25">
      <c r="A680" t="s">
        <v>150</v>
      </c>
      <c r="B680" t="s">
        <v>24</v>
      </c>
      <c r="C680" t="s">
        <v>25</v>
      </c>
      <c r="D680" s="7">
        <v>45415</v>
      </c>
      <c r="E680" t="s">
        <v>200</v>
      </c>
      <c r="F680" s="8">
        <v>105238.09</v>
      </c>
      <c r="G680" t="s">
        <v>94</v>
      </c>
    </row>
    <row r="681" spans="1:7" x14ac:dyDescent="0.25">
      <c r="A681" t="s">
        <v>150</v>
      </c>
      <c r="B681" t="s">
        <v>24</v>
      </c>
      <c r="C681" t="s">
        <v>25</v>
      </c>
      <c r="D681" s="7">
        <v>45420</v>
      </c>
      <c r="E681" t="s">
        <v>176</v>
      </c>
      <c r="F681" s="8">
        <v>437809.5</v>
      </c>
      <c r="G681" t="s">
        <v>94</v>
      </c>
    </row>
    <row r="682" spans="1:7" x14ac:dyDescent="0.25">
      <c r="A682" t="s">
        <v>150</v>
      </c>
      <c r="B682" t="s">
        <v>24</v>
      </c>
      <c r="C682" t="s">
        <v>25</v>
      </c>
      <c r="D682" s="7">
        <v>45427</v>
      </c>
      <c r="E682" t="s">
        <v>100</v>
      </c>
      <c r="F682" s="8">
        <v>647145</v>
      </c>
      <c r="G682" t="s">
        <v>94</v>
      </c>
    </row>
    <row r="683" spans="1:7" x14ac:dyDescent="0.25">
      <c r="A683" t="s">
        <v>150</v>
      </c>
      <c r="B683" t="s">
        <v>24</v>
      </c>
      <c r="C683" t="s">
        <v>25</v>
      </c>
      <c r="D683" s="7">
        <v>45435</v>
      </c>
      <c r="E683" t="s">
        <v>175</v>
      </c>
      <c r="F683" s="8">
        <v>444323</v>
      </c>
      <c r="G683" t="s">
        <v>94</v>
      </c>
    </row>
    <row r="684" spans="1:7" x14ac:dyDescent="0.25">
      <c r="A684" t="s">
        <v>150</v>
      </c>
      <c r="B684" t="s">
        <v>29</v>
      </c>
      <c r="C684" t="s">
        <v>30</v>
      </c>
      <c r="D684" s="7">
        <v>45443</v>
      </c>
      <c r="E684" t="s">
        <v>74</v>
      </c>
      <c r="F684" s="8">
        <v>2185719.75</v>
      </c>
      <c r="G684" t="s">
        <v>94</v>
      </c>
    </row>
    <row r="685" spans="1:7" x14ac:dyDescent="0.25">
      <c r="A685" t="s">
        <v>150</v>
      </c>
      <c r="B685" t="s">
        <v>24</v>
      </c>
      <c r="C685" t="s">
        <v>30</v>
      </c>
      <c r="D685" s="7">
        <v>45448</v>
      </c>
      <c r="E685" t="s">
        <v>38</v>
      </c>
      <c r="F685" s="8">
        <v>1309523.8899999999</v>
      </c>
      <c r="G685" t="s">
        <v>94</v>
      </c>
    </row>
    <row r="686" spans="1:7" x14ac:dyDescent="0.25">
      <c r="A686" t="s">
        <v>150</v>
      </c>
      <c r="B686" t="s">
        <v>24</v>
      </c>
      <c r="C686" t="s">
        <v>30</v>
      </c>
      <c r="D686" s="7">
        <v>45448</v>
      </c>
      <c r="E686" t="s">
        <v>74</v>
      </c>
      <c r="F686" s="8">
        <v>1285714.28</v>
      </c>
      <c r="G686" t="s">
        <v>94</v>
      </c>
    </row>
    <row r="687" spans="1:7" x14ac:dyDescent="0.25">
      <c r="A687" t="s">
        <v>150</v>
      </c>
      <c r="B687" t="s">
        <v>24</v>
      </c>
      <c r="C687" t="s">
        <v>30</v>
      </c>
      <c r="D687" s="7">
        <v>45448</v>
      </c>
      <c r="E687" t="s">
        <v>41</v>
      </c>
      <c r="F687" s="8">
        <v>190476.2</v>
      </c>
      <c r="G687" t="s">
        <v>94</v>
      </c>
    </row>
    <row r="688" spans="1:7" x14ac:dyDescent="0.25">
      <c r="A688" t="s">
        <v>150</v>
      </c>
      <c r="B688" t="s">
        <v>24</v>
      </c>
      <c r="C688" t="s">
        <v>30</v>
      </c>
      <c r="D688" s="7">
        <v>45448</v>
      </c>
      <c r="E688" t="s">
        <v>197</v>
      </c>
      <c r="F688" s="8">
        <v>176190.5</v>
      </c>
      <c r="G688" t="s">
        <v>94</v>
      </c>
    </row>
    <row r="689" spans="1:7" x14ac:dyDescent="0.25">
      <c r="A689" t="s">
        <v>150</v>
      </c>
      <c r="B689" t="s">
        <v>24</v>
      </c>
      <c r="C689" t="s">
        <v>25</v>
      </c>
      <c r="D689" s="7">
        <v>45448</v>
      </c>
      <c r="E689" t="s">
        <v>100</v>
      </c>
      <c r="F689" s="8">
        <v>678476.2</v>
      </c>
      <c r="G689" t="s">
        <v>94</v>
      </c>
    </row>
    <row r="690" spans="1:7" x14ac:dyDescent="0.25">
      <c r="A690" t="s">
        <v>150</v>
      </c>
      <c r="B690" t="s">
        <v>29</v>
      </c>
      <c r="C690" t="s">
        <v>30</v>
      </c>
      <c r="D690" s="7">
        <v>45453</v>
      </c>
      <c r="E690" t="s">
        <v>201</v>
      </c>
      <c r="F690" s="8">
        <v>1227619.05</v>
      </c>
      <c r="G690" t="s">
        <v>94</v>
      </c>
    </row>
    <row r="691" spans="1:7" x14ac:dyDescent="0.25">
      <c r="A691" t="s">
        <v>150</v>
      </c>
      <c r="B691" t="s">
        <v>24</v>
      </c>
      <c r="C691" t="s">
        <v>25</v>
      </c>
      <c r="D691" s="7">
        <v>45460</v>
      </c>
      <c r="E691" t="s">
        <v>100</v>
      </c>
      <c r="F691" s="8">
        <v>743601</v>
      </c>
      <c r="G691" t="s">
        <v>94</v>
      </c>
    </row>
    <row r="692" spans="1:7" x14ac:dyDescent="0.25">
      <c r="A692" t="s">
        <v>150</v>
      </c>
      <c r="B692" t="s">
        <v>24</v>
      </c>
      <c r="C692" t="s">
        <v>25</v>
      </c>
      <c r="D692" s="7">
        <v>45467</v>
      </c>
      <c r="E692" t="s">
        <v>100</v>
      </c>
      <c r="F692" s="8">
        <v>652858.4</v>
      </c>
      <c r="G692" t="s">
        <v>94</v>
      </c>
    </row>
    <row r="693" spans="1:7" x14ac:dyDescent="0.25">
      <c r="A693" t="s">
        <v>150</v>
      </c>
      <c r="B693" t="s">
        <v>24</v>
      </c>
      <c r="C693" t="s">
        <v>25</v>
      </c>
      <c r="D693" s="7">
        <v>45474</v>
      </c>
      <c r="E693" t="s">
        <v>182</v>
      </c>
      <c r="F693" s="8">
        <v>672857.5</v>
      </c>
      <c r="G693" t="s">
        <v>94</v>
      </c>
    </row>
    <row r="694" spans="1:7" x14ac:dyDescent="0.25">
      <c r="A694" t="s">
        <v>150</v>
      </c>
      <c r="B694" t="s">
        <v>29</v>
      </c>
      <c r="C694" t="s">
        <v>30</v>
      </c>
      <c r="D694" s="7">
        <v>45477</v>
      </c>
      <c r="E694" t="s">
        <v>202</v>
      </c>
      <c r="F694" s="8">
        <v>4577667.1500000004</v>
      </c>
      <c r="G694" t="s">
        <v>94</v>
      </c>
    </row>
    <row r="695" spans="1:7" x14ac:dyDescent="0.25">
      <c r="A695" t="s">
        <v>150</v>
      </c>
      <c r="B695" t="s">
        <v>24</v>
      </c>
      <c r="C695" t="s">
        <v>25</v>
      </c>
      <c r="D695" s="7">
        <v>45485</v>
      </c>
      <c r="E695" t="s">
        <v>200</v>
      </c>
      <c r="F695" s="8">
        <v>57620</v>
      </c>
      <c r="G695" t="s">
        <v>94</v>
      </c>
    </row>
    <row r="696" spans="1:7" x14ac:dyDescent="0.25">
      <c r="A696" t="s">
        <v>150</v>
      </c>
      <c r="B696" t="s">
        <v>29</v>
      </c>
      <c r="C696" t="s">
        <v>30</v>
      </c>
      <c r="D696" s="7">
        <v>45492</v>
      </c>
      <c r="E696" t="s">
        <v>47</v>
      </c>
      <c r="F696" s="8">
        <v>190476.19</v>
      </c>
      <c r="G696" t="s">
        <v>94</v>
      </c>
    </row>
    <row r="697" spans="1:7" x14ac:dyDescent="0.25">
      <c r="A697" t="s">
        <v>150</v>
      </c>
      <c r="B697" t="s">
        <v>29</v>
      </c>
      <c r="C697" t="s">
        <v>30</v>
      </c>
      <c r="D697" s="7">
        <v>45492</v>
      </c>
      <c r="E697" t="s">
        <v>66</v>
      </c>
      <c r="F697" s="8">
        <v>739624</v>
      </c>
      <c r="G697" t="s">
        <v>94</v>
      </c>
    </row>
    <row r="698" spans="1:7" x14ac:dyDescent="0.25">
      <c r="A698" t="s">
        <v>150</v>
      </c>
      <c r="B698" t="s">
        <v>29</v>
      </c>
      <c r="C698" t="s">
        <v>30</v>
      </c>
      <c r="D698" s="7">
        <v>45497</v>
      </c>
      <c r="E698" t="s">
        <v>38</v>
      </c>
      <c r="F698" s="8">
        <v>529497</v>
      </c>
      <c r="G698" t="s">
        <v>94</v>
      </c>
    </row>
    <row r="699" spans="1:7" x14ac:dyDescent="0.25">
      <c r="A699" t="s">
        <v>150</v>
      </c>
      <c r="B699" t="s">
        <v>29</v>
      </c>
      <c r="C699" t="s">
        <v>30</v>
      </c>
      <c r="D699" s="7">
        <v>45503</v>
      </c>
      <c r="E699" t="s">
        <v>203</v>
      </c>
      <c r="F699" s="8">
        <v>2500000</v>
      </c>
      <c r="G699" t="s">
        <v>94</v>
      </c>
    </row>
    <row r="700" spans="1:7" x14ac:dyDescent="0.25">
      <c r="A700" t="s">
        <v>150</v>
      </c>
      <c r="B700" t="s">
        <v>24</v>
      </c>
      <c r="C700" t="s">
        <v>30</v>
      </c>
      <c r="D700" s="7">
        <v>45518</v>
      </c>
      <c r="E700" t="s">
        <v>115</v>
      </c>
      <c r="F700" s="8">
        <v>2506250</v>
      </c>
      <c r="G700" t="s">
        <v>94</v>
      </c>
    </row>
    <row r="701" spans="1:7" x14ac:dyDescent="0.25">
      <c r="A701" t="s">
        <v>150</v>
      </c>
      <c r="B701" t="s">
        <v>24</v>
      </c>
      <c r="C701" t="s">
        <v>30</v>
      </c>
      <c r="D701" s="7">
        <v>45518</v>
      </c>
      <c r="E701" t="s">
        <v>74</v>
      </c>
      <c r="F701" s="8">
        <v>2393566</v>
      </c>
      <c r="G701" t="s">
        <v>94</v>
      </c>
    </row>
    <row r="702" spans="1:7" x14ac:dyDescent="0.25">
      <c r="A702" t="s">
        <v>150</v>
      </c>
      <c r="B702" t="s">
        <v>24</v>
      </c>
      <c r="C702" t="s">
        <v>30</v>
      </c>
      <c r="D702" s="7">
        <v>45518</v>
      </c>
      <c r="E702" t="s">
        <v>198</v>
      </c>
      <c r="F702" s="8">
        <v>301714</v>
      </c>
      <c r="G702" t="s">
        <v>94</v>
      </c>
    </row>
    <row r="703" spans="1:7" x14ac:dyDescent="0.25">
      <c r="A703" t="s">
        <v>150</v>
      </c>
      <c r="B703" t="s">
        <v>24</v>
      </c>
      <c r="C703" t="s">
        <v>30</v>
      </c>
      <c r="D703" s="7">
        <v>45518</v>
      </c>
      <c r="E703" t="s">
        <v>197</v>
      </c>
      <c r="F703" s="8">
        <v>437580</v>
      </c>
      <c r="G703" t="s">
        <v>94</v>
      </c>
    </row>
    <row r="704" spans="1:7" x14ac:dyDescent="0.25">
      <c r="A704" t="s">
        <v>150</v>
      </c>
      <c r="B704" t="s">
        <v>24</v>
      </c>
      <c r="C704" t="s">
        <v>25</v>
      </c>
      <c r="D704" s="7">
        <v>45527</v>
      </c>
      <c r="E704" t="s">
        <v>182</v>
      </c>
      <c r="F704" s="8">
        <v>789952.5</v>
      </c>
      <c r="G704" t="s">
        <v>94</v>
      </c>
    </row>
    <row r="705" spans="1:7" x14ac:dyDescent="0.25">
      <c r="A705" t="s">
        <v>150</v>
      </c>
      <c r="B705" t="s">
        <v>24</v>
      </c>
      <c r="C705" t="s">
        <v>25</v>
      </c>
      <c r="D705" s="7">
        <v>45535</v>
      </c>
      <c r="E705" t="s">
        <v>204</v>
      </c>
      <c r="F705" s="8">
        <v>342873</v>
      </c>
      <c r="G705" t="s">
        <v>94</v>
      </c>
    </row>
    <row r="706" spans="1:7" x14ac:dyDescent="0.25">
      <c r="A706" t="s">
        <v>150</v>
      </c>
      <c r="B706" t="s">
        <v>24</v>
      </c>
      <c r="C706" t="s">
        <v>25</v>
      </c>
      <c r="D706" s="7">
        <v>45535</v>
      </c>
      <c r="E706" t="s">
        <v>205</v>
      </c>
      <c r="F706" s="8">
        <v>171621</v>
      </c>
      <c r="G706" t="s">
        <v>94</v>
      </c>
    </row>
    <row r="707" spans="1:7" x14ac:dyDescent="0.25">
      <c r="A707" t="s">
        <v>150</v>
      </c>
      <c r="B707" t="s">
        <v>24</v>
      </c>
      <c r="C707" t="s">
        <v>25</v>
      </c>
      <c r="D707" s="7">
        <v>45539</v>
      </c>
      <c r="E707" t="s">
        <v>50</v>
      </c>
      <c r="F707" s="8">
        <v>336000</v>
      </c>
      <c r="G707" t="s">
        <v>94</v>
      </c>
    </row>
    <row r="708" spans="1:7" x14ac:dyDescent="0.25">
      <c r="A708" t="s">
        <v>150</v>
      </c>
      <c r="B708" t="s">
        <v>24</v>
      </c>
      <c r="C708" t="s">
        <v>25</v>
      </c>
      <c r="D708" s="7">
        <v>45540</v>
      </c>
      <c r="E708" t="s">
        <v>99</v>
      </c>
      <c r="F708" s="8">
        <v>886667</v>
      </c>
      <c r="G708" t="s">
        <v>94</v>
      </c>
    </row>
    <row r="709" spans="1:7" x14ac:dyDescent="0.25">
      <c r="A709" t="s">
        <v>150</v>
      </c>
      <c r="B709" t="s">
        <v>24</v>
      </c>
      <c r="C709" t="s">
        <v>25</v>
      </c>
      <c r="D709" s="7">
        <v>45545</v>
      </c>
      <c r="E709" t="s">
        <v>206</v>
      </c>
      <c r="F709" s="8">
        <v>480667.7</v>
      </c>
      <c r="G709" t="s">
        <v>94</v>
      </c>
    </row>
    <row r="710" spans="1:7" x14ac:dyDescent="0.25">
      <c r="A710" t="s">
        <v>150</v>
      </c>
      <c r="B710" t="s">
        <v>24</v>
      </c>
      <c r="C710" t="s">
        <v>30</v>
      </c>
      <c r="D710" s="7">
        <v>45547</v>
      </c>
      <c r="E710" t="s">
        <v>198</v>
      </c>
      <c r="F710" s="8">
        <v>952400</v>
      </c>
      <c r="G710" t="s">
        <v>94</v>
      </c>
    </row>
    <row r="711" spans="1:7" x14ac:dyDescent="0.25">
      <c r="A711" t="s">
        <v>150</v>
      </c>
      <c r="B711" t="s">
        <v>24</v>
      </c>
      <c r="C711" t="s">
        <v>25</v>
      </c>
      <c r="D711" s="7">
        <v>45547</v>
      </c>
      <c r="E711" t="s">
        <v>205</v>
      </c>
      <c r="F711" s="8">
        <v>181905.6</v>
      </c>
      <c r="G711" t="s">
        <v>94</v>
      </c>
    </row>
    <row r="712" spans="1:7" x14ac:dyDescent="0.25">
      <c r="A712" t="s">
        <v>150</v>
      </c>
      <c r="B712" t="s">
        <v>29</v>
      </c>
      <c r="C712" t="s">
        <v>30</v>
      </c>
      <c r="D712" s="7">
        <v>45554</v>
      </c>
      <c r="E712" t="s">
        <v>207</v>
      </c>
      <c r="F712" s="8">
        <v>5041701.28</v>
      </c>
      <c r="G712" t="s">
        <v>94</v>
      </c>
    </row>
    <row r="713" spans="1:7" x14ac:dyDescent="0.25">
      <c r="A713" t="s">
        <v>150</v>
      </c>
      <c r="B713" t="s">
        <v>24</v>
      </c>
      <c r="C713" t="s">
        <v>25</v>
      </c>
      <c r="D713" s="7">
        <v>45555</v>
      </c>
      <c r="E713" t="s">
        <v>182</v>
      </c>
      <c r="F713" s="8">
        <v>790096</v>
      </c>
      <c r="G713" t="s">
        <v>94</v>
      </c>
    </row>
    <row r="714" spans="1:7" x14ac:dyDescent="0.25">
      <c r="A714" t="s">
        <v>150</v>
      </c>
      <c r="B714" t="s">
        <v>24</v>
      </c>
      <c r="C714" t="s">
        <v>25</v>
      </c>
      <c r="D714" s="7">
        <v>45556</v>
      </c>
      <c r="E714" t="s">
        <v>208</v>
      </c>
      <c r="F714" s="8">
        <v>307048.8</v>
      </c>
      <c r="G714" t="s">
        <v>94</v>
      </c>
    </row>
    <row r="715" spans="1:7" x14ac:dyDescent="0.25">
      <c r="A715" t="s">
        <v>150</v>
      </c>
      <c r="B715" t="s">
        <v>29</v>
      </c>
      <c r="C715" t="s">
        <v>25</v>
      </c>
      <c r="D715" s="7">
        <v>45556</v>
      </c>
      <c r="E715" t="s">
        <v>54</v>
      </c>
      <c r="F715" s="8">
        <v>930190.48</v>
      </c>
      <c r="G715" t="s">
        <v>94</v>
      </c>
    </row>
    <row r="716" spans="1:7" x14ac:dyDescent="0.25">
      <c r="A716" t="s">
        <v>150</v>
      </c>
      <c r="B716" t="s">
        <v>24</v>
      </c>
      <c r="C716" t="s">
        <v>25</v>
      </c>
      <c r="D716" s="7">
        <v>45558</v>
      </c>
      <c r="E716" t="s">
        <v>73</v>
      </c>
      <c r="F716" s="8">
        <v>243810</v>
      </c>
      <c r="G716" t="s">
        <v>94</v>
      </c>
    </row>
    <row r="717" spans="1:7" x14ac:dyDescent="0.25">
      <c r="A717" t="s">
        <v>150</v>
      </c>
      <c r="B717" t="s">
        <v>29</v>
      </c>
      <c r="C717" t="s">
        <v>30</v>
      </c>
      <c r="D717" s="7">
        <v>45565</v>
      </c>
      <c r="E717" t="s">
        <v>203</v>
      </c>
      <c r="F717" s="8">
        <v>252141.12</v>
      </c>
      <c r="G717" t="s">
        <v>94</v>
      </c>
    </row>
    <row r="718" spans="1:7" x14ac:dyDescent="0.25">
      <c r="A718" t="s">
        <v>150</v>
      </c>
      <c r="B718" t="s">
        <v>24</v>
      </c>
      <c r="C718" t="s">
        <v>25</v>
      </c>
      <c r="D718" s="7">
        <v>45567</v>
      </c>
      <c r="E718" t="s">
        <v>168</v>
      </c>
      <c r="F718" s="8">
        <v>80000</v>
      </c>
      <c r="G718" t="s">
        <v>94</v>
      </c>
    </row>
    <row r="719" spans="1:7" x14ac:dyDescent="0.25">
      <c r="A719" t="s">
        <v>150</v>
      </c>
      <c r="B719" t="s">
        <v>24</v>
      </c>
      <c r="C719" t="s">
        <v>25</v>
      </c>
      <c r="D719" s="7">
        <v>45572</v>
      </c>
      <c r="E719" t="s">
        <v>191</v>
      </c>
      <c r="F719" s="8">
        <v>267143</v>
      </c>
      <c r="G719" t="s">
        <v>94</v>
      </c>
    </row>
    <row r="720" spans="1:7" x14ac:dyDescent="0.25">
      <c r="A720" t="s">
        <v>150</v>
      </c>
      <c r="B720" t="s">
        <v>24</v>
      </c>
      <c r="C720" t="s">
        <v>25</v>
      </c>
      <c r="D720" s="7">
        <v>45572</v>
      </c>
      <c r="E720" t="s">
        <v>208</v>
      </c>
      <c r="F720" s="8">
        <v>90476.19</v>
      </c>
      <c r="G720" t="s">
        <v>94</v>
      </c>
    </row>
    <row r="721" spans="1:7" x14ac:dyDescent="0.25">
      <c r="A721" t="s">
        <v>150</v>
      </c>
      <c r="B721" t="s">
        <v>24</v>
      </c>
      <c r="C721" t="s">
        <v>30</v>
      </c>
      <c r="D721" s="7">
        <v>45573</v>
      </c>
      <c r="E721" t="s">
        <v>198</v>
      </c>
      <c r="F721" s="8">
        <v>280000</v>
      </c>
      <c r="G721" t="s">
        <v>94</v>
      </c>
    </row>
    <row r="722" spans="1:7" x14ac:dyDescent="0.25">
      <c r="A722" t="s">
        <v>150</v>
      </c>
      <c r="B722" t="s">
        <v>24</v>
      </c>
      <c r="C722" t="s">
        <v>25</v>
      </c>
      <c r="D722" s="7">
        <v>45583</v>
      </c>
      <c r="E722" t="s">
        <v>209</v>
      </c>
      <c r="F722" s="8">
        <v>482857.5</v>
      </c>
      <c r="G722" t="s">
        <v>94</v>
      </c>
    </row>
    <row r="723" spans="1:7" x14ac:dyDescent="0.25">
      <c r="A723" t="s">
        <v>150</v>
      </c>
      <c r="B723" t="s">
        <v>24</v>
      </c>
      <c r="C723" t="s">
        <v>25</v>
      </c>
      <c r="D723" s="7">
        <v>45583</v>
      </c>
      <c r="E723" t="s">
        <v>168</v>
      </c>
      <c r="F723" s="8">
        <v>76190.5</v>
      </c>
      <c r="G723" t="s">
        <v>94</v>
      </c>
    </row>
    <row r="724" spans="1:7" x14ac:dyDescent="0.25">
      <c r="A724" t="s">
        <v>150</v>
      </c>
      <c r="B724" t="s">
        <v>29</v>
      </c>
      <c r="C724" t="s">
        <v>25</v>
      </c>
      <c r="D724" s="7">
        <v>45583</v>
      </c>
      <c r="E724" t="s">
        <v>54</v>
      </c>
      <c r="F724" s="8">
        <v>1137142.8600000001</v>
      </c>
      <c r="G724" t="s">
        <v>94</v>
      </c>
    </row>
    <row r="725" spans="1:7" x14ac:dyDescent="0.25">
      <c r="A725" t="s">
        <v>150</v>
      </c>
      <c r="B725" t="s">
        <v>24</v>
      </c>
      <c r="C725" t="s">
        <v>25</v>
      </c>
      <c r="D725" s="7">
        <v>45584</v>
      </c>
      <c r="E725" t="s">
        <v>28</v>
      </c>
      <c r="F725" s="8">
        <v>2037765</v>
      </c>
      <c r="G725" t="s">
        <v>94</v>
      </c>
    </row>
    <row r="726" spans="1:7" x14ac:dyDescent="0.25">
      <c r="A726" t="s">
        <v>150</v>
      </c>
      <c r="B726" t="s">
        <v>24</v>
      </c>
      <c r="C726" t="s">
        <v>30</v>
      </c>
      <c r="D726" s="7">
        <v>45593</v>
      </c>
      <c r="E726" t="s">
        <v>41</v>
      </c>
      <c r="F726" s="8">
        <v>1383700</v>
      </c>
      <c r="G726" t="s">
        <v>94</v>
      </c>
    </row>
    <row r="727" spans="1:7" x14ac:dyDescent="0.25">
      <c r="A727" t="s">
        <v>150</v>
      </c>
      <c r="B727" t="s">
        <v>24</v>
      </c>
      <c r="C727" t="s">
        <v>30</v>
      </c>
      <c r="D727" s="7">
        <v>45593</v>
      </c>
      <c r="E727" t="s">
        <v>74</v>
      </c>
      <c r="F727" s="8">
        <v>2314680</v>
      </c>
      <c r="G727" t="s">
        <v>94</v>
      </c>
    </row>
    <row r="728" spans="1:7" x14ac:dyDescent="0.25">
      <c r="A728" t="s">
        <v>150</v>
      </c>
      <c r="B728" t="s">
        <v>24</v>
      </c>
      <c r="C728" t="s">
        <v>25</v>
      </c>
      <c r="D728" s="7">
        <v>45593</v>
      </c>
      <c r="E728" t="s">
        <v>182</v>
      </c>
      <c r="F728" s="8">
        <v>938287.8</v>
      </c>
      <c r="G728" t="s">
        <v>94</v>
      </c>
    </row>
    <row r="729" spans="1:7" x14ac:dyDescent="0.25">
      <c r="A729" t="s">
        <v>150</v>
      </c>
      <c r="B729" t="s">
        <v>24</v>
      </c>
      <c r="C729" t="s">
        <v>25</v>
      </c>
      <c r="D729" s="7">
        <v>45593</v>
      </c>
      <c r="E729" t="s">
        <v>197</v>
      </c>
      <c r="F729" s="8">
        <v>699950</v>
      </c>
      <c r="G729" t="s">
        <v>94</v>
      </c>
    </row>
    <row r="730" spans="1:7" x14ac:dyDescent="0.25">
      <c r="A730" t="s">
        <v>150</v>
      </c>
      <c r="B730" t="s">
        <v>24</v>
      </c>
      <c r="C730" t="s">
        <v>25</v>
      </c>
      <c r="D730" s="7">
        <v>45619</v>
      </c>
      <c r="E730" t="s">
        <v>28</v>
      </c>
      <c r="F730" s="8">
        <v>1188576.5</v>
      </c>
      <c r="G730" t="s">
        <v>94</v>
      </c>
    </row>
    <row r="731" spans="1:7" x14ac:dyDescent="0.25">
      <c r="A731" t="s">
        <v>150</v>
      </c>
      <c r="B731" t="s">
        <v>24</v>
      </c>
      <c r="C731" t="s">
        <v>25</v>
      </c>
      <c r="D731" s="7">
        <v>45626</v>
      </c>
      <c r="E731" t="s">
        <v>198</v>
      </c>
      <c r="F731" s="8">
        <v>480000</v>
      </c>
      <c r="G731" t="s">
        <v>94</v>
      </c>
    </row>
    <row r="732" spans="1:7" x14ac:dyDescent="0.25">
      <c r="A732" t="s">
        <v>150</v>
      </c>
      <c r="B732" t="s">
        <v>24</v>
      </c>
      <c r="C732" t="s">
        <v>25</v>
      </c>
      <c r="D732" s="7">
        <v>45629</v>
      </c>
      <c r="E732" t="s">
        <v>182</v>
      </c>
      <c r="F732" s="8">
        <v>446666.7</v>
      </c>
      <c r="G732" t="s">
        <v>94</v>
      </c>
    </row>
    <row r="733" spans="1:7" x14ac:dyDescent="0.25">
      <c r="A733" t="s">
        <v>150</v>
      </c>
      <c r="B733" t="s">
        <v>24</v>
      </c>
      <c r="C733" t="s">
        <v>25</v>
      </c>
      <c r="D733" s="7">
        <v>45630</v>
      </c>
      <c r="E733" t="s">
        <v>200</v>
      </c>
      <c r="F733" s="8">
        <v>63810</v>
      </c>
      <c r="G733" t="s">
        <v>94</v>
      </c>
    </row>
    <row r="734" spans="1:7" x14ac:dyDescent="0.25">
      <c r="A734" t="s">
        <v>150</v>
      </c>
      <c r="B734" t="s">
        <v>24</v>
      </c>
      <c r="C734" t="s">
        <v>30</v>
      </c>
      <c r="D734" s="7">
        <v>45632</v>
      </c>
      <c r="E734" t="s">
        <v>198</v>
      </c>
      <c r="F734" s="8">
        <v>323800</v>
      </c>
      <c r="G734" t="s">
        <v>94</v>
      </c>
    </row>
    <row r="735" spans="1:7" x14ac:dyDescent="0.25">
      <c r="A735" t="s">
        <v>150</v>
      </c>
      <c r="B735" t="s">
        <v>29</v>
      </c>
      <c r="C735" t="s">
        <v>30</v>
      </c>
      <c r="D735" s="7">
        <v>45636</v>
      </c>
      <c r="E735" t="s">
        <v>105</v>
      </c>
      <c r="F735" s="8">
        <v>2380952.39</v>
      </c>
      <c r="G735" t="s">
        <v>94</v>
      </c>
    </row>
    <row r="736" spans="1:7" x14ac:dyDescent="0.25">
      <c r="A736" t="s">
        <v>150</v>
      </c>
      <c r="B736" t="s">
        <v>24</v>
      </c>
      <c r="C736" t="s">
        <v>25</v>
      </c>
      <c r="D736" s="7">
        <v>45650</v>
      </c>
      <c r="E736" t="s">
        <v>182</v>
      </c>
      <c r="F736" s="8">
        <v>580190.48</v>
      </c>
      <c r="G736" t="s">
        <v>94</v>
      </c>
    </row>
    <row r="737" spans="1:7" x14ac:dyDescent="0.25">
      <c r="A737" t="s">
        <v>150</v>
      </c>
      <c r="B737" t="s">
        <v>24</v>
      </c>
      <c r="C737" t="s">
        <v>30</v>
      </c>
      <c r="D737" s="7">
        <v>45657</v>
      </c>
      <c r="E737" t="s">
        <v>198</v>
      </c>
      <c r="F737" s="8">
        <v>453320</v>
      </c>
      <c r="G737" t="s">
        <v>94</v>
      </c>
    </row>
    <row r="738" spans="1:7" x14ac:dyDescent="0.25">
      <c r="A738" t="s">
        <v>150</v>
      </c>
      <c r="B738" t="s">
        <v>24</v>
      </c>
      <c r="C738" t="s">
        <v>25</v>
      </c>
      <c r="D738" s="7">
        <v>45658</v>
      </c>
      <c r="E738" t="s">
        <v>210</v>
      </c>
      <c r="F738" s="8">
        <v>2531151</v>
      </c>
      <c r="G738" t="s">
        <v>94</v>
      </c>
    </row>
    <row r="739" spans="1:7" x14ac:dyDescent="0.25">
      <c r="A739" t="s">
        <v>150</v>
      </c>
      <c r="B739" t="s">
        <v>24</v>
      </c>
      <c r="C739" t="s">
        <v>25</v>
      </c>
      <c r="D739" s="7">
        <v>45660</v>
      </c>
      <c r="E739" t="s">
        <v>211</v>
      </c>
      <c r="F739" s="8">
        <v>71428.5</v>
      </c>
      <c r="G739" t="s">
        <v>94</v>
      </c>
    </row>
    <row r="740" spans="1:7" x14ac:dyDescent="0.25">
      <c r="A740" t="s">
        <v>150</v>
      </c>
      <c r="B740" t="s">
        <v>24</v>
      </c>
      <c r="C740" t="s">
        <v>25</v>
      </c>
      <c r="D740" s="7">
        <v>45665</v>
      </c>
      <c r="E740" t="s">
        <v>212</v>
      </c>
      <c r="F740" s="8">
        <v>221861.9</v>
      </c>
      <c r="G740" t="s">
        <v>94</v>
      </c>
    </row>
    <row r="741" spans="1:7" x14ac:dyDescent="0.25">
      <c r="A741" t="s">
        <v>150</v>
      </c>
      <c r="B741" t="s">
        <v>24</v>
      </c>
      <c r="C741" t="s">
        <v>25</v>
      </c>
      <c r="D741" s="7">
        <v>45666</v>
      </c>
      <c r="E741" t="s">
        <v>170</v>
      </c>
      <c r="F741" s="8">
        <v>1010666.68</v>
      </c>
      <c r="G741" t="s">
        <v>94</v>
      </c>
    </row>
    <row r="742" spans="1:7" x14ac:dyDescent="0.25">
      <c r="A742" t="s">
        <v>150</v>
      </c>
      <c r="B742" t="s">
        <v>29</v>
      </c>
      <c r="C742" t="s">
        <v>30</v>
      </c>
      <c r="D742" s="7">
        <v>45678</v>
      </c>
      <c r="E742" t="s">
        <v>213</v>
      </c>
      <c r="F742" s="8">
        <v>1476190.48</v>
      </c>
      <c r="G742" t="s">
        <v>94</v>
      </c>
    </row>
    <row r="743" spans="1:7" x14ac:dyDescent="0.25">
      <c r="A743" t="s">
        <v>150</v>
      </c>
      <c r="B743" t="s">
        <v>24</v>
      </c>
      <c r="C743" t="s">
        <v>25</v>
      </c>
      <c r="D743" s="7">
        <v>45685</v>
      </c>
      <c r="E743" t="s">
        <v>28</v>
      </c>
      <c r="F743" s="8">
        <v>2038774</v>
      </c>
      <c r="G743" t="s">
        <v>94</v>
      </c>
    </row>
    <row r="744" spans="1:7" x14ac:dyDescent="0.25">
      <c r="A744" t="s">
        <v>150</v>
      </c>
      <c r="B744" t="s">
        <v>29</v>
      </c>
      <c r="C744" t="s">
        <v>30</v>
      </c>
      <c r="D744" s="7">
        <v>45687</v>
      </c>
      <c r="E744" t="s">
        <v>129</v>
      </c>
      <c r="F744" s="8">
        <v>4009613.2</v>
      </c>
      <c r="G744" t="s">
        <v>94</v>
      </c>
    </row>
    <row r="745" spans="1:7" x14ac:dyDescent="0.25">
      <c r="A745" t="s">
        <v>150</v>
      </c>
      <c r="B745" t="s">
        <v>24</v>
      </c>
      <c r="C745" t="s">
        <v>30</v>
      </c>
      <c r="D745" s="7">
        <v>45688</v>
      </c>
      <c r="E745" t="s">
        <v>166</v>
      </c>
      <c r="F745" s="8">
        <v>1190476.2</v>
      </c>
      <c r="G745" t="s">
        <v>94</v>
      </c>
    </row>
    <row r="746" spans="1:7" x14ac:dyDescent="0.25">
      <c r="A746" t="s">
        <v>150</v>
      </c>
      <c r="B746" t="s">
        <v>24</v>
      </c>
      <c r="C746" t="s">
        <v>25</v>
      </c>
      <c r="D746" s="7">
        <v>45688</v>
      </c>
      <c r="E746" t="s">
        <v>73</v>
      </c>
      <c r="F746" s="8">
        <v>194191</v>
      </c>
      <c r="G746" t="s">
        <v>94</v>
      </c>
    </row>
    <row r="747" spans="1:7" x14ac:dyDescent="0.25">
      <c r="A747" t="s">
        <v>150</v>
      </c>
      <c r="B747" t="s">
        <v>24</v>
      </c>
      <c r="C747" t="s">
        <v>25</v>
      </c>
      <c r="D747" s="7">
        <v>45688</v>
      </c>
      <c r="E747" t="s">
        <v>214</v>
      </c>
      <c r="F747" s="8">
        <v>247380</v>
      </c>
      <c r="G747" t="s">
        <v>94</v>
      </c>
    </row>
    <row r="748" spans="1:7" x14ac:dyDescent="0.25">
      <c r="A748" t="s">
        <v>150</v>
      </c>
      <c r="B748" t="s">
        <v>29</v>
      </c>
      <c r="C748" t="s">
        <v>30</v>
      </c>
      <c r="D748" s="7">
        <v>45688</v>
      </c>
      <c r="E748" t="s">
        <v>129</v>
      </c>
      <c r="F748" s="8">
        <v>4109772.1</v>
      </c>
      <c r="G748" t="s">
        <v>94</v>
      </c>
    </row>
    <row r="749" spans="1:7" x14ac:dyDescent="0.25">
      <c r="A749" t="s">
        <v>150</v>
      </c>
      <c r="B749" t="s">
        <v>24</v>
      </c>
      <c r="C749" t="s">
        <v>25</v>
      </c>
      <c r="D749" s="7">
        <v>45695</v>
      </c>
      <c r="E749" t="s">
        <v>182</v>
      </c>
      <c r="F749" s="8">
        <v>372758</v>
      </c>
      <c r="G749" t="s">
        <v>94</v>
      </c>
    </row>
    <row r="750" spans="1:7" x14ac:dyDescent="0.25">
      <c r="A750" t="s">
        <v>150</v>
      </c>
      <c r="B750" t="s">
        <v>29</v>
      </c>
      <c r="C750" t="s">
        <v>30</v>
      </c>
      <c r="D750" s="7">
        <v>45701</v>
      </c>
      <c r="E750" t="s">
        <v>38</v>
      </c>
      <c r="F750" s="8">
        <v>770529</v>
      </c>
      <c r="G750" t="s">
        <v>94</v>
      </c>
    </row>
    <row r="751" spans="1:7" x14ac:dyDescent="0.25">
      <c r="A751" t="s">
        <v>150</v>
      </c>
      <c r="B751" t="s">
        <v>24</v>
      </c>
      <c r="C751" t="s">
        <v>30</v>
      </c>
      <c r="D751" s="7">
        <v>45702</v>
      </c>
      <c r="E751" t="s">
        <v>215</v>
      </c>
      <c r="F751" s="8">
        <v>695238</v>
      </c>
      <c r="G751" t="s">
        <v>94</v>
      </c>
    </row>
    <row r="752" spans="1:7" x14ac:dyDescent="0.25">
      <c r="A752" t="s">
        <v>150</v>
      </c>
      <c r="B752" t="s">
        <v>24</v>
      </c>
      <c r="C752" t="s">
        <v>30</v>
      </c>
      <c r="D752" s="7">
        <v>45705</v>
      </c>
      <c r="E752" t="s">
        <v>66</v>
      </c>
      <c r="F752" s="8">
        <v>688571.43</v>
      </c>
      <c r="G752" t="s">
        <v>94</v>
      </c>
    </row>
    <row r="753" spans="1:7" x14ac:dyDescent="0.25">
      <c r="A753" t="s">
        <v>150</v>
      </c>
      <c r="B753" t="s">
        <v>24</v>
      </c>
      <c r="C753" t="s">
        <v>25</v>
      </c>
      <c r="D753" s="7">
        <v>45706</v>
      </c>
      <c r="E753" t="s">
        <v>212</v>
      </c>
      <c r="F753" s="8">
        <v>285702</v>
      </c>
      <c r="G753" t="s">
        <v>94</v>
      </c>
    </row>
    <row r="754" spans="1:7" x14ac:dyDescent="0.25">
      <c r="A754" t="s">
        <v>150</v>
      </c>
      <c r="B754" t="s">
        <v>24</v>
      </c>
      <c r="C754" t="s">
        <v>25</v>
      </c>
      <c r="D754" s="7">
        <v>45706</v>
      </c>
      <c r="E754" t="s">
        <v>182</v>
      </c>
      <c r="F754" s="8">
        <v>978110</v>
      </c>
      <c r="G754" t="s">
        <v>94</v>
      </c>
    </row>
    <row r="755" spans="1:7" x14ac:dyDescent="0.25">
      <c r="A755" t="s">
        <v>150</v>
      </c>
      <c r="B755" t="s">
        <v>29</v>
      </c>
      <c r="C755" t="s">
        <v>25</v>
      </c>
      <c r="D755" s="7">
        <v>45710</v>
      </c>
      <c r="E755" t="s">
        <v>47</v>
      </c>
      <c r="F755" s="8">
        <v>1317476.19</v>
      </c>
      <c r="G755" t="s">
        <v>94</v>
      </c>
    </row>
    <row r="756" spans="1:7" x14ac:dyDescent="0.25">
      <c r="A756" t="s">
        <v>150</v>
      </c>
      <c r="B756" t="s">
        <v>24</v>
      </c>
      <c r="C756" t="s">
        <v>25</v>
      </c>
      <c r="D756" s="7">
        <v>45711</v>
      </c>
      <c r="E756" t="s">
        <v>73</v>
      </c>
      <c r="F756" s="8">
        <v>200148</v>
      </c>
      <c r="G756" t="s">
        <v>94</v>
      </c>
    </row>
    <row r="757" spans="1:7" x14ac:dyDescent="0.25">
      <c r="A757" t="s">
        <v>150</v>
      </c>
      <c r="B757" t="s">
        <v>24</v>
      </c>
      <c r="C757" t="s">
        <v>25</v>
      </c>
      <c r="D757" s="7">
        <v>45715</v>
      </c>
      <c r="E757" t="s">
        <v>169</v>
      </c>
      <c r="F757" s="8">
        <v>624174.1</v>
      </c>
      <c r="G757" t="s">
        <v>94</v>
      </c>
    </row>
    <row r="758" spans="1:7" x14ac:dyDescent="0.25">
      <c r="A758" t="s">
        <v>150</v>
      </c>
      <c r="B758" t="s">
        <v>24</v>
      </c>
      <c r="C758" t="s">
        <v>25</v>
      </c>
      <c r="D758" s="7">
        <v>45720</v>
      </c>
      <c r="E758" t="s">
        <v>182</v>
      </c>
      <c r="F758" s="8">
        <v>350000</v>
      </c>
      <c r="G758" t="s">
        <v>94</v>
      </c>
    </row>
    <row r="759" spans="1:7" x14ac:dyDescent="0.25">
      <c r="A759" t="s">
        <v>150</v>
      </c>
      <c r="B759" t="s">
        <v>24</v>
      </c>
      <c r="C759" t="s">
        <v>25</v>
      </c>
      <c r="D759" s="7">
        <v>45723</v>
      </c>
      <c r="E759" t="s">
        <v>170</v>
      </c>
      <c r="F759" s="8">
        <v>949860</v>
      </c>
      <c r="G759" t="s">
        <v>94</v>
      </c>
    </row>
    <row r="760" spans="1:7" x14ac:dyDescent="0.25">
      <c r="A760" t="s">
        <v>150</v>
      </c>
      <c r="B760" t="s">
        <v>24</v>
      </c>
      <c r="C760" t="s">
        <v>25</v>
      </c>
      <c r="D760" s="7">
        <v>45728</v>
      </c>
      <c r="E760" t="s">
        <v>169</v>
      </c>
      <c r="F760" s="8">
        <v>799431</v>
      </c>
      <c r="G760" t="s">
        <v>94</v>
      </c>
    </row>
    <row r="761" spans="1:7" x14ac:dyDescent="0.25">
      <c r="A761" t="s">
        <v>150</v>
      </c>
      <c r="B761" t="s">
        <v>29</v>
      </c>
      <c r="C761" t="s">
        <v>25</v>
      </c>
      <c r="D761" s="7">
        <v>45729</v>
      </c>
      <c r="E761" t="s">
        <v>71</v>
      </c>
      <c r="F761" s="8">
        <v>142761.9</v>
      </c>
      <c r="G761" t="s">
        <v>94</v>
      </c>
    </row>
    <row r="762" spans="1:7" x14ac:dyDescent="0.25">
      <c r="A762" t="s">
        <v>150</v>
      </c>
      <c r="B762" t="s">
        <v>24</v>
      </c>
      <c r="C762" t="s">
        <v>25</v>
      </c>
      <c r="D762" s="7">
        <v>45730</v>
      </c>
      <c r="E762" t="s">
        <v>73</v>
      </c>
      <c r="F762" s="8">
        <v>89571.5</v>
      </c>
      <c r="G762" t="s">
        <v>94</v>
      </c>
    </row>
    <row r="763" spans="1:7" x14ac:dyDescent="0.25">
      <c r="A763" t="s">
        <v>150</v>
      </c>
      <c r="B763" t="s">
        <v>29</v>
      </c>
      <c r="C763" t="s">
        <v>30</v>
      </c>
      <c r="D763" s="7">
        <v>45730</v>
      </c>
      <c r="E763" t="s">
        <v>148</v>
      </c>
      <c r="F763" s="8">
        <v>448588.57</v>
      </c>
      <c r="G763" t="s">
        <v>94</v>
      </c>
    </row>
    <row r="764" spans="1:7" x14ac:dyDescent="0.25">
      <c r="A764" t="s">
        <v>150</v>
      </c>
      <c r="B764" t="s">
        <v>29</v>
      </c>
      <c r="C764" t="s">
        <v>30</v>
      </c>
      <c r="D764" s="7">
        <v>45730</v>
      </c>
      <c r="E764" t="s">
        <v>148</v>
      </c>
      <c r="F764" s="8">
        <v>4142857.14</v>
      </c>
      <c r="G764" t="s">
        <v>94</v>
      </c>
    </row>
    <row r="765" spans="1:7" x14ac:dyDescent="0.25">
      <c r="A765" t="s">
        <v>150</v>
      </c>
      <c r="B765" t="s">
        <v>29</v>
      </c>
      <c r="C765" t="s">
        <v>25</v>
      </c>
      <c r="D765" s="7">
        <v>45733</v>
      </c>
      <c r="E765" t="s">
        <v>216</v>
      </c>
      <c r="F765" s="8">
        <v>344060.66</v>
      </c>
      <c r="G765" t="s">
        <v>94</v>
      </c>
    </row>
    <row r="766" spans="1:7" x14ac:dyDescent="0.25">
      <c r="A766" t="s">
        <v>150</v>
      </c>
      <c r="B766" t="s">
        <v>24</v>
      </c>
      <c r="C766" t="s">
        <v>25</v>
      </c>
      <c r="D766" s="7">
        <v>45738</v>
      </c>
      <c r="E766" t="s">
        <v>182</v>
      </c>
      <c r="F766" s="8">
        <v>368985</v>
      </c>
      <c r="G766" t="s">
        <v>94</v>
      </c>
    </row>
    <row r="767" spans="1:7" x14ac:dyDescent="0.25">
      <c r="A767" t="s">
        <v>150</v>
      </c>
      <c r="B767" t="s">
        <v>24</v>
      </c>
      <c r="C767" t="s">
        <v>30</v>
      </c>
      <c r="D767" s="7">
        <v>45741</v>
      </c>
      <c r="E767" t="s">
        <v>217</v>
      </c>
      <c r="F767" s="8">
        <v>2220017</v>
      </c>
      <c r="G767" t="s">
        <v>94</v>
      </c>
    </row>
    <row r="768" spans="1:7" x14ac:dyDescent="0.25">
      <c r="A768" t="s">
        <v>150</v>
      </c>
      <c r="B768" t="s">
        <v>24</v>
      </c>
      <c r="C768" t="s">
        <v>25</v>
      </c>
      <c r="D768" s="7">
        <v>45750</v>
      </c>
      <c r="E768" t="s">
        <v>215</v>
      </c>
      <c r="F768" s="8">
        <v>273619</v>
      </c>
      <c r="G768" t="s">
        <v>126</v>
      </c>
    </row>
    <row r="769" spans="1:7" x14ac:dyDescent="0.25">
      <c r="A769" t="s">
        <v>150</v>
      </c>
      <c r="B769" t="s">
        <v>24</v>
      </c>
      <c r="C769" t="s">
        <v>25</v>
      </c>
      <c r="D769" s="7">
        <v>45752</v>
      </c>
      <c r="E769" t="s">
        <v>218</v>
      </c>
      <c r="F769" s="8">
        <v>330952.38</v>
      </c>
      <c r="G769" t="s">
        <v>126</v>
      </c>
    </row>
    <row r="770" spans="1:7" x14ac:dyDescent="0.25">
      <c r="A770" t="s">
        <v>150</v>
      </c>
      <c r="B770" t="s">
        <v>24</v>
      </c>
      <c r="C770" t="s">
        <v>25</v>
      </c>
      <c r="D770" s="7">
        <v>45752</v>
      </c>
      <c r="E770" t="s">
        <v>190</v>
      </c>
      <c r="F770" s="8">
        <v>105714.3</v>
      </c>
      <c r="G770" t="s">
        <v>126</v>
      </c>
    </row>
    <row r="771" spans="1:7" x14ac:dyDescent="0.25">
      <c r="A771" t="s">
        <v>150</v>
      </c>
      <c r="B771" t="s">
        <v>24</v>
      </c>
      <c r="C771" t="s">
        <v>25</v>
      </c>
      <c r="D771" s="7">
        <v>45754</v>
      </c>
      <c r="E771" t="s">
        <v>206</v>
      </c>
      <c r="F771" s="8">
        <v>352400</v>
      </c>
      <c r="G771" t="s">
        <v>126</v>
      </c>
    </row>
    <row r="772" spans="1:7" x14ac:dyDescent="0.25">
      <c r="A772" t="s">
        <v>150</v>
      </c>
      <c r="B772" t="s">
        <v>24</v>
      </c>
      <c r="C772" t="s">
        <v>25</v>
      </c>
      <c r="D772" s="7">
        <v>45754</v>
      </c>
      <c r="E772" t="s">
        <v>109</v>
      </c>
      <c r="F772" s="8">
        <v>212850</v>
      </c>
      <c r="G772" t="s">
        <v>126</v>
      </c>
    </row>
    <row r="773" spans="1:7" x14ac:dyDescent="0.25">
      <c r="A773" t="s">
        <v>150</v>
      </c>
      <c r="B773" t="s">
        <v>24</v>
      </c>
      <c r="C773" t="s">
        <v>25</v>
      </c>
      <c r="D773" s="7">
        <v>45754</v>
      </c>
      <c r="E773" t="s">
        <v>28</v>
      </c>
      <c r="F773" s="8">
        <v>1679920</v>
      </c>
      <c r="G773" t="s">
        <v>126</v>
      </c>
    </row>
    <row r="774" spans="1:7" x14ac:dyDescent="0.25">
      <c r="A774" t="s">
        <v>150</v>
      </c>
      <c r="B774" t="s">
        <v>24</v>
      </c>
      <c r="C774" t="s">
        <v>25</v>
      </c>
      <c r="D774" s="7">
        <v>45754</v>
      </c>
      <c r="E774" t="s">
        <v>182</v>
      </c>
      <c r="F774" s="8">
        <v>376200</v>
      </c>
      <c r="G774" t="s">
        <v>126</v>
      </c>
    </row>
    <row r="775" spans="1:7" x14ac:dyDescent="0.25">
      <c r="A775" t="s">
        <v>150</v>
      </c>
      <c r="B775" t="s">
        <v>24</v>
      </c>
      <c r="C775" t="s">
        <v>25</v>
      </c>
      <c r="D775" s="7">
        <v>45755</v>
      </c>
      <c r="E775" t="s">
        <v>210</v>
      </c>
      <c r="F775" s="8">
        <v>312885</v>
      </c>
      <c r="G775" t="s">
        <v>126</v>
      </c>
    </row>
    <row r="776" spans="1:7" x14ac:dyDescent="0.25">
      <c r="A776" t="s">
        <v>150</v>
      </c>
      <c r="B776" t="s">
        <v>24</v>
      </c>
      <c r="C776" t="s">
        <v>25</v>
      </c>
      <c r="D776" s="7">
        <v>45756</v>
      </c>
      <c r="E776" t="s">
        <v>219</v>
      </c>
      <c r="F776" s="8">
        <v>141900</v>
      </c>
      <c r="G776" t="s">
        <v>126</v>
      </c>
    </row>
    <row r="777" spans="1:7" x14ac:dyDescent="0.25">
      <c r="A777" t="s">
        <v>150</v>
      </c>
      <c r="B777" t="s">
        <v>24</v>
      </c>
      <c r="C777" t="s">
        <v>25</v>
      </c>
      <c r="D777" s="7">
        <v>45756</v>
      </c>
      <c r="E777" t="s">
        <v>210</v>
      </c>
      <c r="F777" s="8">
        <v>1436180</v>
      </c>
      <c r="G777" t="s">
        <v>126</v>
      </c>
    </row>
    <row r="778" spans="1:7" x14ac:dyDescent="0.25">
      <c r="A778" t="s">
        <v>150</v>
      </c>
      <c r="B778" t="s">
        <v>24</v>
      </c>
      <c r="C778" t="s">
        <v>25</v>
      </c>
      <c r="D778" s="7">
        <v>45757</v>
      </c>
      <c r="E778" t="s">
        <v>114</v>
      </c>
      <c r="F778" s="8">
        <v>382584</v>
      </c>
      <c r="G778" t="s">
        <v>126</v>
      </c>
    </row>
    <row r="779" spans="1:7" x14ac:dyDescent="0.25">
      <c r="A779" t="s">
        <v>150</v>
      </c>
      <c r="B779" t="s">
        <v>24</v>
      </c>
      <c r="C779" t="s">
        <v>25</v>
      </c>
      <c r="D779" s="7">
        <v>45757</v>
      </c>
      <c r="E779" t="s">
        <v>170</v>
      </c>
      <c r="F779" s="8">
        <v>1142661</v>
      </c>
      <c r="G779" t="s">
        <v>126</v>
      </c>
    </row>
    <row r="780" spans="1:7" x14ac:dyDescent="0.25">
      <c r="A780" t="s">
        <v>150</v>
      </c>
      <c r="B780" t="s">
        <v>24</v>
      </c>
      <c r="C780" t="s">
        <v>25</v>
      </c>
      <c r="D780" s="7">
        <v>45758</v>
      </c>
      <c r="E780" t="s">
        <v>206</v>
      </c>
      <c r="F780" s="8">
        <v>279520</v>
      </c>
      <c r="G780" t="s">
        <v>126</v>
      </c>
    </row>
    <row r="781" spans="1:7" x14ac:dyDescent="0.25">
      <c r="A781" t="s">
        <v>150</v>
      </c>
      <c r="B781" t="s">
        <v>29</v>
      </c>
      <c r="C781" t="s">
        <v>30</v>
      </c>
      <c r="D781" s="7">
        <v>45768</v>
      </c>
      <c r="E781" t="s">
        <v>129</v>
      </c>
      <c r="F781" s="8">
        <v>4453000.74</v>
      </c>
      <c r="G781" t="s">
        <v>126</v>
      </c>
    </row>
    <row r="782" spans="1:7" x14ac:dyDescent="0.25">
      <c r="A782" t="s">
        <v>150</v>
      </c>
      <c r="B782" t="s">
        <v>24</v>
      </c>
      <c r="C782" t="s">
        <v>25</v>
      </c>
      <c r="D782" s="7">
        <v>45769</v>
      </c>
      <c r="E782" t="s">
        <v>169</v>
      </c>
      <c r="F782" s="8">
        <v>274857.59999999998</v>
      </c>
      <c r="G782" t="s">
        <v>126</v>
      </c>
    </row>
    <row r="783" spans="1:7" x14ac:dyDescent="0.25">
      <c r="A783" t="s">
        <v>150</v>
      </c>
      <c r="B783" t="s">
        <v>29</v>
      </c>
      <c r="C783" t="s">
        <v>30</v>
      </c>
      <c r="D783" s="7">
        <v>45773</v>
      </c>
      <c r="E783" t="s">
        <v>220</v>
      </c>
      <c r="F783" s="8">
        <v>5030271.1399999997</v>
      </c>
      <c r="G783" t="s">
        <v>126</v>
      </c>
    </row>
    <row r="784" spans="1:7" x14ac:dyDescent="0.25">
      <c r="A784" t="s">
        <v>150</v>
      </c>
      <c r="B784" t="s">
        <v>24</v>
      </c>
      <c r="C784" t="s">
        <v>25</v>
      </c>
      <c r="D784" s="7">
        <v>45784</v>
      </c>
      <c r="E784" t="s">
        <v>28</v>
      </c>
      <c r="F784" s="8">
        <v>1062667</v>
      </c>
      <c r="G784" t="s">
        <v>126</v>
      </c>
    </row>
    <row r="785" spans="1:7" x14ac:dyDescent="0.25">
      <c r="A785" t="s">
        <v>150</v>
      </c>
      <c r="B785" t="s">
        <v>24</v>
      </c>
      <c r="C785" t="s">
        <v>25</v>
      </c>
      <c r="D785" s="7">
        <v>45797</v>
      </c>
      <c r="E785" t="s">
        <v>28</v>
      </c>
      <c r="F785" s="8">
        <v>1190572</v>
      </c>
      <c r="G785" t="s">
        <v>126</v>
      </c>
    </row>
    <row r="786" spans="1:7" x14ac:dyDescent="0.25">
      <c r="A786" t="s">
        <v>150</v>
      </c>
      <c r="B786" t="s">
        <v>29</v>
      </c>
      <c r="C786" t="s">
        <v>30</v>
      </c>
      <c r="D786" s="7">
        <v>45808</v>
      </c>
      <c r="E786" t="s">
        <v>217</v>
      </c>
      <c r="F786" s="8">
        <v>2476190.48</v>
      </c>
      <c r="G786" t="s">
        <v>126</v>
      </c>
    </row>
    <row r="787" spans="1:7" x14ac:dyDescent="0.25">
      <c r="A787" t="s">
        <v>150</v>
      </c>
      <c r="B787" t="s">
        <v>24</v>
      </c>
      <c r="C787" t="s">
        <v>25</v>
      </c>
      <c r="D787" s="7">
        <v>45810</v>
      </c>
      <c r="E787" t="s">
        <v>182</v>
      </c>
      <c r="F787" s="8">
        <v>396047.62</v>
      </c>
      <c r="G787" t="s">
        <v>126</v>
      </c>
    </row>
    <row r="788" spans="1:7" x14ac:dyDescent="0.25">
      <c r="A788" t="s">
        <v>150</v>
      </c>
      <c r="B788" t="s">
        <v>24</v>
      </c>
      <c r="C788" t="s">
        <v>25</v>
      </c>
      <c r="D788" s="7">
        <v>45817</v>
      </c>
      <c r="E788" t="s">
        <v>170</v>
      </c>
      <c r="F788" s="8">
        <v>958715.7</v>
      </c>
      <c r="G788" t="s">
        <v>126</v>
      </c>
    </row>
    <row r="789" spans="1:7" x14ac:dyDescent="0.25">
      <c r="A789" t="s">
        <v>150</v>
      </c>
      <c r="B789" t="s">
        <v>24</v>
      </c>
      <c r="C789" t="s">
        <v>25</v>
      </c>
      <c r="D789" s="7">
        <v>45822</v>
      </c>
      <c r="E789" t="s">
        <v>221</v>
      </c>
      <c r="F789" s="8">
        <v>224575</v>
      </c>
      <c r="G789" t="s">
        <v>126</v>
      </c>
    </row>
    <row r="790" spans="1:7" x14ac:dyDescent="0.25">
      <c r="A790" t="s">
        <v>150</v>
      </c>
      <c r="B790" t="s">
        <v>24</v>
      </c>
      <c r="C790" t="s">
        <v>25</v>
      </c>
      <c r="D790" s="7">
        <v>45829</v>
      </c>
      <c r="E790" t="s">
        <v>182</v>
      </c>
      <c r="F790" s="8">
        <v>539238</v>
      </c>
      <c r="G790" t="s">
        <v>126</v>
      </c>
    </row>
    <row r="791" spans="1:7" x14ac:dyDescent="0.25">
      <c r="A791" t="s">
        <v>150</v>
      </c>
      <c r="B791" t="s">
        <v>29</v>
      </c>
      <c r="C791" t="s">
        <v>30</v>
      </c>
      <c r="D791" s="7">
        <v>45835</v>
      </c>
      <c r="E791" t="s">
        <v>95</v>
      </c>
      <c r="F791" s="8">
        <v>3421037.75</v>
      </c>
      <c r="G791" t="s">
        <v>126</v>
      </c>
    </row>
    <row r="792" spans="1:7" x14ac:dyDescent="0.25">
      <c r="A792" t="s">
        <v>150</v>
      </c>
      <c r="B792" t="s">
        <v>24</v>
      </c>
      <c r="C792" t="s">
        <v>25</v>
      </c>
      <c r="D792" s="7">
        <v>45840</v>
      </c>
      <c r="E792" t="s">
        <v>169</v>
      </c>
      <c r="F792" s="8">
        <v>636666</v>
      </c>
      <c r="G792" t="s">
        <v>126</v>
      </c>
    </row>
    <row r="793" spans="1:7" x14ac:dyDescent="0.25">
      <c r="A793" t="s">
        <v>150</v>
      </c>
      <c r="B793" t="s">
        <v>24</v>
      </c>
      <c r="C793" t="s">
        <v>25</v>
      </c>
      <c r="D793" s="7">
        <v>45841</v>
      </c>
      <c r="E793" t="s">
        <v>170</v>
      </c>
      <c r="F793" s="8">
        <v>1264857.6000000001</v>
      </c>
      <c r="G793" t="s">
        <v>126</v>
      </c>
    </row>
    <row r="794" spans="1:7" x14ac:dyDescent="0.25">
      <c r="A794" t="s">
        <v>150</v>
      </c>
      <c r="B794" t="s">
        <v>24</v>
      </c>
      <c r="C794" t="s">
        <v>25</v>
      </c>
      <c r="D794" s="7">
        <v>45846</v>
      </c>
      <c r="E794" t="s">
        <v>28</v>
      </c>
      <c r="F794" s="8">
        <v>1240150</v>
      </c>
      <c r="G794" t="s">
        <v>126</v>
      </c>
    </row>
    <row r="795" spans="1:7" x14ac:dyDescent="0.25">
      <c r="A795" t="s">
        <v>150</v>
      </c>
      <c r="B795" t="s">
        <v>29</v>
      </c>
      <c r="C795" t="s">
        <v>30</v>
      </c>
      <c r="D795" s="7">
        <v>45850</v>
      </c>
      <c r="E795" t="s">
        <v>75</v>
      </c>
      <c r="F795" s="8">
        <v>952380.3</v>
      </c>
      <c r="G795" t="s">
        <v>126</v>
      </c>
    </row>
    <row r="796" spans="1:7" x14ac:dyDescent="0.25">
      <c r="A796" t="s">
        <v>150</v>
      </c>
      <c r="B796" t="s">
        <v>24</v>
      </c>
      <c r="C796" t="s">
        <v>25</v>
      </c>
      <c r="D796" s="7">
        <v>45853</v>
      </c>
      <c r="E796" t="s">
        <v>182</v>
      </c>
      <c r="F796" s="8">
        <v>458092</v>
      </c>
      <c r="G796" t="s">
        <v>126</v>
      </c>
    </row>
    <row r="797" spans="1:7" x14ac:dyDescent="0.25">
      <c r="A797" t="s">
        <v>150</v>
      </c>
      <c r="B797" t="s">
        <v>29</v>
      </c>
      <c r="C797" t="s">
        <v>30</v>
      </c>
      <c r="D797" s="7">
        <v>45855</v>
      </c>
      <c r="E797" t="s">
        <v>174</v>
      </c>
      <c r="F797" s="8">
        <v>1121428.58</v>
      </c>
      <c r="G797" t="s">
        <v>126</v>
      </c>
    </row>
    <row r="798" spans="1:7" x14ac:dyDescent="0.25">
      <c r="A798" t="s">
        <v>150</v>
      </c>
      <c r="B798" t="s">
        <v>24</v>
      </c>
      <c r="C798" t="s">
        <v>30</v>
      </c>
      <c r="D798" s="7">
        <v>45867</v>
      </c>
      <c r="E798" t="s">
        <v>216</v>
      </c>
      <c r="F798" s="8">
        <v>1668600</v>
      </c>
      <c r="G798" t="s">
        <v>126</v>
      </c>
    </row>
    <row r="799" spans="1:7" x14ac:dyDescent="0.25">
      <c r="A799" t="s">
        <v>150</v>
      </c>
      <c r="B799" t="s">
        <v>24</v>
      </c>
      <c r="C799" t="s">
        <v>25</v>
      </c>
      <c r="D799" s="7">
        <v>45868</v>
      </c>
      <c r="E799" t="s">
        <v>169</v>
      </c>
      <c r="F799" s="8">
        <v>660015</v>
      </c>
      <c r="G799" t="s">
        <v>126</v>
      </c>
    </row>
    <row r="800" spans="1:7" x14ac:dyDescent="0.25">
      <c r="A800" t="s">
        <v>150</v>
      </c>
      <c r="B800" t="s">
        <v>29</v>
      </c>
      <c r="C800" t="s">
        <v>30</v>
      </c>
      <c r="D800" s="7">
        <v>45876</v>
      </c>
      <c r="E800" t="s">
        <v>174</v>
      </c>
      <c r="F800" s="8">
        <v>761904.76</v>
      </c>
      <c r="G800" t="s">
        <v>126</v>
      </c>
    </row>
    <row r="801" spans="1:7" x14ac:dyDescent="0.25">
      <c r="A801" t="s">
        <v>150</v>
      </c>
      <c r="B801" t="s">
        <v>24</v>
      </c>
      <c r="C801" t="s">
        <v>25</v>
      </c>
      <c r="D801" s="7">
        <v>45878</v>
      </c>
      <c r="E801" t="s">
        <v>182</v>
      </c>
      <c r="F801" s="8">
        <v>598095.24</v>
      </c>
      <c r="G801" t="s">
        <v>126</v>
      </c>
    </row>
    <row r="802" spans="1:7" x14ac:dyDescent="0.25">
      <c r="A802" t="s">
        <v>150</v>
      </c>
      <c r="B802" t="s">
        <v>24</v>
      </c>
      <c r="C802" t="s">
        <v>25</v>
      </c>
      <c r="D802" s="7">
        <v>45888</v>
      </c>
      <c r="E802" t="s">
        <v>28</v>
      </c>
      <c r="F802" s="8">
        <v>2197719</v>
      </c>
      <c r="G802" t="s">
        <v>126</v>
      </c>
    </row>
    <row r="803" spans="1:7" x14ac:dyDescent="0.25">
      <c r="A803" t="s">
        <v>150</v>
      </c>
      <c r="B803" t="s">
        <v>24</v>
      </c>
      <c r="C803" t="s">
        <v>25</v>
      </c>
      <c r="D803" s="7">
        <v>45892</v>
      </c>
      <c r="E803" t="s">
        <v>222</v>
      </c>
      <c r="F803" s="8">
        <v>313143.2</v>
      </c>
      <c r="G803" t="s">
        <v>126</v>
      </c>
    </row>
    <row r="804" spans="1:7" x14ac:dyDescent="0.25">
      <c r="A804" t="s">
        <v>150</v>
      </c>
      <c r="B804" t="s">
        <v>24</v>
      </c>
      <c r="C804" t="s">
        <v>25</v>
      </c>
      <c r="D804" s="7">
        <v>45896</v>
      </c>
      <c r="E804" t="s">
        <v>169</v>
      </c>
      <c r="F804" s="8">
        <v>1416333.3</v>
      </c>
      <c r="G804" t="s">
        <v>126</v>
      </c>
    </row>
    <row r="805" spans="1:7" x14ac:dyDescent="0.25">
      <c r="A805" t="s">
        <v>150</v>
      </c>
      <c r="B805" t="s">
        <v>24</v>
      </c>
      <c r="C805" t="s">
        <v>25</v>
      </c>
      <c r="D805" s="7">
        <v>45898</v>
      </c>
      <c r="E805" t="s">
        <v>182</v>
      </c>
      <c r="F805" s="8">
        <v>890952.38</v>
      </c>
      <c r="G805" t="s">
        <v>126</v>
      </c>
    </row>
    <row r="806" spans="1:7" x14ac:dyDescent="0.25">
      <c r="A806" t="s">
        <v>150</v>
      </c>
      <c r="B806" t="s">
        <v>24</v>
      </c>
      <c r="C806" t="s">
        <v>25</v>
      </c>
      <c r="D806" s="7">
        <v>45901</v>
      </c>
      <c r="E806" t="s">
        <v>190</v>
      </c>
      <c r="F806" s="8">
        <v>285095.23</v>
      </c>
      <c r="G806" t="s">
        <v>126</v>
      </c>
    </row>
    <row r="807" spans="1:7" x14ac:dyDescent="0.25">
      <c r="A807" t="s">
        <v>150</v>
      </c>
      <c r="B807" t="s">
        <v>24</v>
      </c>
      <c r="C807" t="s">
        <v>25</v>
      </c>
      <c r="D807" s="7">
        <v>45901</v>
      </c>
      <c r="E807" t="s">
        <v>140</v>
      </c>
      <c r="F807" s="8">
        <v>185714.3</v>
      </c>
      <c r="G807" t="s">
        <v>126</v>
      </c>
    </row>
    <row r="808" spans="1:7" x14ac:dyDescent="0.25">
      <c r="A808" t="s">
        <v>150</v>
      </c>
      <c r="B808" t="s">
        <v>24</v>
      </c>
      <c r="C808" t="s">
        <v>25</v>
      </c>
      <c r="D808" s="7">
        <v>45904</v>
      </c>
      <c r="E808" t="s">
        <v>190</v>
      </c>
      <c r="F808" s="8">
        <v>337714.28</v>
      </c>
      <c r="G808" t="s">
        <v>126</v>
      </c>
    </row>
    <row r="809" spans="1:7" x14ac:dyDescent="0.25">
      <c r="A809" t="s">
        <v>150</v>
      </c>
      <c r="B809" t="s">
        <v>29</v>
      </c>
      <c r="C809" t="s">
        <v>30</v>
      </c>
      <c r="D809" s="7">
        <v>45904</v>
      </c>
      <c r="E809" t="s">
        <v>217</v>
      </c>
      <c r="F809" s="8">
        <v>952380.96</v>
      </c>
      <c r="G809" t="s">
        <v>126</v>
      </c>
    </row>
    <row r="810" spans="1:7" x14ac:dyDescent="0.25">
      <c r="A810" t="s">
        <v>150</v>
      </c>
      <c r="B810" t="s">
        <v>24</v>
      </c>
      <c r="C810" t="s">
        <v>25</v>
      </c>
      <c r="D810" s="7">
        <v>45909</v>
      </c>
      <c r="E810" t="s">
        <v>223</v>
      </c>
      <c r="F810" s="8">
        <v>428400</v>
      </c>
      <c r="G810" t="s">
        <v>126</v>
      </c>
    </row>
    <row r="811" spans="1:7" x14ac:dyDescent="0.25">
      <c r="A811" t="s">
        <v>150</v>
      </c>
      <c r="B811" t="s">
        <v>24</v>
      </c>
      <c r="C811" t="s">
        <v>25</v>
      </c>
      <c r="D811" s="7">
        <v>45910</v>
      </c>
      <c r="E811" t="s">
        <v>140</v>
      </c>
      <c r="F811" s="8">
        <v>373809.52</v>
      </c>
      <c r="G811" t="s">
        <v>126</v>
      </c>
    </row>
    <row r="812" spans="1:7" x14ac:dyDescent="0.25">
      <c r="A812" t="s">
        <v>150</v>
      </c>
      <c r="B812" t="s">
        <v>24</v>
      </c>
      <c r="C812" t="s">
        <v>25</v>
      </c>
      <c r="D812" s="7">
        <v>45912</v>
      </c>
      <c r="E812" t="s">
        <v>224</v>
      </c>
      <c r="F812" s="8">
        <v>905714.5</v>
      </c>
      <c r="G812" t="s">
        <v>126</v>
      </c>
    </row>
    <row r="813" spans="1:7" x14ac:dyDescent="0.25">
      <c r="A813" t="s">
        <v>150</v>
      </c>
      <c r="B813" t="s">
        <v>24</v>
      </c>
      <c r="C813" t="s">
        <v>25</v>
      </c>
      <c r="D813" s="7">
        <v>45915</v>
      </c>
      <c r="E813" t="s">
        <v>222</v>
      </c>
      <c r="F813" s="8">
        <v>386380.95</v>
      </c>
      <c r="G813" t="s">
        <v>126</v>
      </c>
    </row>
    <row r="814" spans="1:7" x14ac:dyDescent="0.25">
      <c r="A814" t="s">
        <v>150</v>
      </c>
      <c r="B814" t="s">
        <v>24</v>
      </c>
      <c r="C814" t="s">
        <v>25</v>
      </c>
      <c r="D814" s="7">
        <v>45916</v>
      </c>
      <c r="E814" t="s">
        <v>140</v>
      </c>
      <c r="F814" s="8">
        <v>680334</v>
      </c>
      <c r="G814" t="s">
        <v>126</v>
      </c>
    </row>
    <row r="815" spans="1:7" x14ac:dyDescent="0.25">
      <c r="A815" t="s">
        <v>150</v>
      </c>
      <c r="B815" t="s">
        <v>29</v>
      </c>
      <c r="C815" t="s">
        <v>30</v>
      </c>
      <c r="D815" s="7">
        <v>45918</v>
      </c>
      <c r="E815" t="s">
        <v>225</v>
      </c>
      <c r="F815" s="8">
        <v>428095.24</v>
      </c>
      <c r="G815" t="s">
        <v>126</v>
      </c>
    </row>
    <row r="816" spans="1:7" x14ac:dyDescent="0.25">
      <c r="A816" t="s">
        <v>150</v>
      </c>
      <c r="B816" t="s">
        <v>24</v>
      </c>
      <c r="C816" t="s">
        <v>25</v>
      </c>
      <c r="D816" s="7">
        <v>45922</v>
      </c>
      <c r="E816" t="s">
        <v>212</v>
      </c>
      <c r="F816" s="8">
        <v>62495</v>
      </c>
      <c r="G816" t="s">
        <v>126</v>
      </c>
    </row>
    <row r="817" spans="1:7" x14ac:dyDescent="0.25">
      <c r="A817" t="s">
        <v>150</v>
      </c>
      <c r="B817" t="s">
        <v>24</v>
      </c>
      <c r="C817" t="s">
        <v>25</v>
      </c>
      <c r="D817" s="7">
        <v>45922</v>
      </c>
      <c r="E817" t="s">
        <v>140</v>
      </c>
      <c r="F817" s="8">
        <v>557142.85</v>
      </c>
      <c r="G817" t="s">
        <v>126</v>
      </c>
    </row>
    <row r="818" spans="1:7" x14ac:dyDescent="0.25">
      <c r="A818" t="s">
        <v>150</v>
      </c>
      <c r="B818" t="s">
        <v>24</v>
      </c>
      <c r="C818" t="s">
        <v>25</v>
      </c>
      <c r="D818" s="7">
        <v>45922</v>
      </c>
      <c r="E818" t="s">
        <v>182</v>
      </c>
      <c r="F818" s="8">
        <v>819523.8</v>
      </c>
      <c r="G818" t="s">
        <v>126</v>
      </c>
    </row>
    <row r="819" spans="1:7" x14ac:dyDescent="0.25">
      <c r="A819" t="s">
        <v>150</v>
      </c>
      <c r="B819" t="s">
        <v>24</v>
      </c>
      <c r="C819" t="s">
        <v>25</v>
      </c>
      <c r="D819" s="7">
        <v>45924</v>
      </c>
      <c r="E819" t="s">
        <v>114</v>
      </c>
      <c r="F819" s="8">
        <v>711667</v>
      </c>
      <c r="G819" t="s">
        <v>126</v>
      </c>
    </row>
    <row r="820" spans="1:7" x14ac:dyDescent="0.25">
      <c r="A820" t="s">
        <v>150</v>
      </c>
      <c r="B820" t="s">
        <v>29</v>
      </c>
      <c r="C820" t="s">
        <v>30</v>
      </c>
      <c r="D820" s="7">
        <v>45925</v>
      </c>
      <c r="E820" t="s">
        <v>105</v>
      </c>
      <c r="F820" s="8">
        <v>3606283.44</v>
      </c>
      <c r="G820" t="s">
        <v>126</v>
      </c>
    </row>
    <row r="821" spans="1:7" x14ac:dyDescent="0.25">
      <c r="A821" t="s">
        <v>150</v>
      </c>
      <c r="B821" t="s">
        <v>29</v>
      </c>
      <c r="C821" t="s">
        <v>30</v>
      </c>
      <c r="D821" s="7">
        <v>45925</v>
      </c>
      <c r="E821" t="s">
        <v>105</v>
      </c>
      <c r="F821" s="8">
        <v>215001</v>
      </c>
      <c r="G821" t="s">
        <v>126</v>
      </c>
    </row>
    <row r="822" spans="1:7" x14ac:dyDescent="0.25">
      <c r="A822" t="s">
        <v>150</v>
      </c>
      <c r="B822" t="s">
        <v>24</v>
      </c>
      <c r="C822" t="s">
        <v>25</v>
      </c>
      <c r="D822" s="7">
        <v>45927</v>
      </c>
      <c r="E822" t="s">
        <v>140</v>
      </c>
      <c r="F822" s="8">
        <v>578571.43000000005</v>
      </c>
      <c r="G822" t="s">
        <v>126</v>
      </c>
    </row>
    <row r="823" spans="1:7" x14ac:dyDescent="0.25">
      <c r="A823" t="s">
        <v>150</v>
      </c>
      <c r="B823" t="s">
        <v>24</v>
      </c>
      <c r="C823" t="s">
        <v>25</v>
      </c>
      <c r="D823" s="7">
        <v>45939</v>
      </c>
      <c r="E823" t="s">
        <v>140</v>
      </c>
      <c r="F823" s="8">
        <v>465714.28</v>
      </c>
      <c r="G823" t="s">
        <v>126</v>
      </c>
    </row>
    <row r="824" spans="1:7" x14ac:dyDescent="0.25">
      <c r="A824" t="s">
        <v>150</v>
      </c>
      <c r="B824" t="s">
        <v>24</v>
      </c>
      <c r="C824" t="s">
        <v>25</v>
      </c>
      <c r="D824" s="7">
        <v>45944</v>
      </c>
      <c r="E824" t="s">
        <v>182</v>
      </c>
      <c r="F824" s="8">
        <v>902761.9</v>
      </c>
      <c r="G824" t="s">
        <v>126</v>
      </c>
    </row>
    <row r="825" spans="1:7" x14ac:dyDescent="0.25">
      <c r="A825" t="s">
        <v>150</v>
      </c>
      <c r="B825" t="s">
        <v>29</v>
      </c>
      <c r="C825" t="s">
        <v>30</v>
      </c>
      <c r="D825" s="7">
        <v>45947</v>
      </c>
      <c r="E825" t="s">
        <v>226</v>
      </c>
      <c r="F825" s="8">
        <v>950107.41</v>
      </c>
      <c r="G825" t="s">
        <v>126</v>
      </c>
    </row>
    <row r="826" spans="1:7" x14ac:dyDescent="0.25">
      <c r="A826" t="s">
        <v>150</v>
      </c>
      <c r="B826" t="s">
        <v>24</v>
      </c>
      <c r="C826" t="s">
        <v>25</v>
      </c>
      <c r="D826" s="7">
        <v>45948</v>
      </c>
      <c r="E826" t="s">
        <v>28</v>
      </c>
      <c r="F826" s="8">
        <v>1047450</v>
      </c>
      <c r="G826" t="s">
        <v>126</v>
      </c>
    </row>
    <row r="827" spans="1:7" x14ac:dyDescent="0.25">
      <c r="A827" t="s">
        <v>150</v>
      </c>
      <c r="B827" t="s">
        <v>24</v>
      </c>
      <c r="C827" t="s">
        <v>25</v>
      </c>
      <c r="D827" s="7">
        <v>45961</v>
      </c>
      <c r="E827" t="s">
        <v>222</v>
      </c>
      <c r="F827" s="8">
        <v>352381</v>
      </c>
      <c r="G827" t="s">
        <v>126</v>
      </c>
    </row>
    <row r="828" spans="1:7" x14ac:dyDescent="0.25">
      <c r="A828" t="s">
        <v>150</v>
      </c>
      <c r="B828" t="s">
        <v>24</v>
      </c>
      <c r="C828" t="s">
        <v>25</v>
      </c>
      <c r="D828" s="7">
        <v>45968</v>
      </c>
      <c r="E828" t="s">
        <v>114</v>
      </c>
      <c r="F828" s="8">
        <v>455609</v>
      </c>
      <c r="G828" t="s">
        <v>126</v>
      </c>
    </row>
    <row r="829" spans="1:7" x14ac:dyDescent="0.25">
      <c r="A829" t="s">
        <v>150</v>
      </c>
      <c r="B829" t="s">
        <v>24</v>
      </c>
      <c r="C829" t="s">
        <v>25</v>
      </c>
      <c r="D829" s="7">
        <v>45969</v>
      </c>
      <c r="E829" t="s">
        <v>28</v>
      </c>
      <c r="F829" s="8">
        <v>1092996</v>
      </c>
      <c r="G829" t="s">
        <v>126</v>
      </c>
    </row>
    <row r="830" spans="1:7" x14ac:dyDescent="0.25">
      <c r="A830" t="s">
        <v>150</v>
      </c>
      <c r="B830" t="s">
        <v>24</v>
      </c>
      <c r="C830" t="s">
        <v>25</v>
      </c>
      <c r="D830" s="7">
        <v>45973</v>
      </c>
      <c r="E830" t="s">
        <v>140</v>
      </c>
      <c r="F830" s="8">
        <v>271670</v>
      </c>
      <c r="G830" t="s">
        <v>126</v>
      </c>
    </row>
    <row r="831" spans="1:7" x14ac:dyDescent="0.25">
      <c r="A831" t="s">
        <v>150</v>
      </c>
      <c r="B831" t="s">
        <v>24</v>
      </c>
      <c r="C831" t="s">
        <v>25</v>
      </c>
      <c r="D831" s="7">
        <v>45981</v>
      </c>
      <c r="E831" t="s">
        <v>227</v>
      </c>
      <c r="F831" s="8">
        <v>198095.24</v>
      </c>
      <c r="G831" t="s">
        <v>126</v>
      </c>
    </row>
    <row r="832" spans="1:7" x14ac:dyDescent="0.25">
      <c r="A832" t="s">
        <v>150</v>
      </c>
      <c r="B832" t="s">
        <v>24</v>
      </c>
      <c r="C832" t="s">
        <v>25</v>
      </c>
      <c r="D832" s="7">
        <v>45982</v>
      </c>
      <c r="E832" t="s">
        <v>182</v>
      </c>
      <c r="F832" s="8">
        <v>283809.52</v>
      </c>
      <c r="G832" t="s">
        <v>126</v>
      </c>
    </row>
    <row r="833" spans="1:7" x14ac:dyDescent="0.25">
      <c r="A833" t="s">
        <v>150</v>
      </c>
      <c r="B833" t="s">
        <v>24</v>
      </c>
      <c r="C833" t="s">
        <v>25</v>
      </c>
      <c r="D833" s="7">
        <v>45985</v>
      </c>
      <c r="E833" t="s">
        <v>199</v>
      </c>
      <c r="F833" s="8">
        <v>233143</v>
      </c>
      <c r="G833" t="s">
        <v>126</v>
      </c>
    </row>
    <row r="834" spans="1:7" x14ac:dyDescent="0.25">
      <c r="A834" t="s">
        <v>150</v>
      </c>
      <c r="B834" t="s">
        <v>29</v>
      </c>
      <c r="C834" t="s">
        <v>30</v>
      </c>
      <c r="D834" s="7">
        <v>45987</v>
      </c>
      <c r="E834" t="s">
        <v>210</v>
      </c>
      <c r="F834" s="8">
        <v>2223809.52</v>
      </c>
      <c r="G834" t="s">
        <v>126</v>
      </c>
    </row>
    <row r="835" spans="1:7" x14ac:dyDescent="0.25">
      <c r="A835" t="s">
        <v>150</v>
      </c>
      <c r="B835" t="s">
        <v>24</v>
      </c>
      <c r="C835" t="s">
        <v>25</v>
      </c>
      <c r="D835" s="7">
        <v>45988</v>
      </c>
      <c r="E835" t="s">
        <v>114</v>
      </c>
      <c r="F835" s="8">
        <v>354750</v>
      </c>
      <c r="G835" t="s">
        <v>126</v>
      </c>
    </row>
    <row r="836" spans="1:7" x14ac:dyDescent="0.25">
      <c r="A836" t="s">
        <v>150</v>
      </c>
      <c r="B836" t="s">
        <v>24</v>
      </c>
      <c r="C836" t="s">
        <v>25</v>
      </c>
      <c r="D836" s="7">
        <v>45989</v>
      </c>
      <c r="E836" t="s">
        <v>227</v>
      </c>
      <c r="F836" s="8">
        <v>397140</v>
      </c>
      <c r="G836" t="s">
        <v>126</v>
      </c>
    </row>
    <row r="837" spans="1:7" x14ac:dyDescent="0.25">
      <c r="A837" t="s">
        <v>150</v>
      </c>
      <c r="B837" t="s">
        <v>24</v>
      </c>
      <c r="C837" t="s">
        <v>25</v>
      </c>
      <c r="D837" s="7">
        <v>45996</v>
      </c>
      <c r="E837" t="s">
        <v>28</v>
      </c>
      <c r="F837" s="8">
        <v>1014190.48</v>
      </c>
      <c r="G837" t="s">
        <v>126</v>
      </c>
    </row>
    <row r="838" spans="1:7" x14ac:dyDescent="0.25">
      <c r="A838" t="s">
        <v>150</v>
      </c>
      <c r="B838" t="s">
        <v>24</v>
      </c>
      <c r="C838" t="s">
        <v>25</v>
      </c>
      <c r="D838" s="7">
        <v>46002</v>
      </c>
      <c r="E838" t="s">
        <v>99</v>
      </c>
      <c r="F838" s="8">
        <v>589200</v>
      </c>
      <c r="G838" t="s">
        <v>126</v>
      </c>
    </row>
    <row r="839" spans="1:7" x14ac:dyDescent="0.25">
      <c r="A839" t="s">
        <v>150</v>
      </c>
      <c r="B839" t="s">
        <v>24</v>
      </c>
      <c r="C839" t="s">
        <v>25</v>
      </c>
      <c r="D839" s="7">
        <v>46009</v>
      </c>
      <c r="E839" t="s">
        <v>182</v>
      </c>
      <c r="F839" s="8">
        <v>548796</v>
      </c>
      <c r="G839" t="s">
        <v>126</v>
      </c>
    </row>
    <row r="840" spans="1:7" x14ac:dyDescent="0.25">
      <c r="A840" t="s">
        <v>150</v>
      </c>
      <c r="B840" t="s">
        <v>24</v>
      </c>
      <c r="C840" t="s">
        <v>25</v>
      </c>
      <c r="D840" s="7">
        <v>46009</v>
      </c>
      <c r="E840" t="s">
        <v>199</v>
      </c>
      <c r="F840" s="8">
        <v>352380.95</v>
      </c>
      <c r="G840" t="s">
        <v>126</v>
      </c>
    </row>
    <row r="841" spans="1:7" x14ac:dyDescent="0.25">
      <c r="A841" t="s">
        <v>150</v>
      </c>
      <c r="B841" t="s">
        <v>24</v>
      </c>
      <c r="C841" t="s">
        <v>25</v>
      </c>
      <c r="D841" s="7">
        <v>46013</v>
      </c>
      <c r="E841" t="s">
        <v>114</v>
      </c>
      <c r="F841" s="8">
        <v>587095</v>
      </c>
      <c r="G841" t="s">
        <v>126</v>
      </c>
    </row>
    <row r="842" spans="1:7" x14ac:dyDescent="0.25">
      <c r="A842" t="s">
        <v>150</v>
      </c>
      <c r="B842" t="s">
        <v>24</v>
      </c>
      <c r="C842" t="s">
        <v>25</v>
      </c>
      <c r="D842" s="7">
        <v>46018</v>
      </c>
      <c r="E842" t="s">
        <v>182</v>
      </c>
      <c r="F842" s="8">
        <v>263405</v>
      </c>
      <c r="G842" t="s">
        <v>126</v>
      </c>
    </row>
    <row r="843" spans="1:7" x14ac:dyDescent="0.25">
      <c r="A843" t="s">
        <v>150</v>
      </c>
      <c r="B843" t="s">
        <v>24</v>
      </c>
      <c r="C843" t="s">
        <v>25</v>
      </c>
      <c r="D843" s="7">
        <v>46025</v>
      </c>
      <c r="E843" t="s">
        <v>228</v>
      </c>
      <c r="F843" s="8">
        <v>140960</v>
      </c>
      <c r="G843" t="s">
        <v>126</v>
      </c>
    </row>
    <row r="844" spans="1:7" x14ac:dyDescent="0.25">
      <c r="A844" t="s">
        <v>150</v>
      </c>
      <c r="B844" t="s">
        <v>24</v>
      </c>
      <c r="C844" t="s">
        <v>25</v>
      </c>
      <c r="D844" s="7">
        <v>46038</v>
      </c>
      <c r="E844" t="s">
        <v>114</v>
      </c>
      <c r="F844" s="8">
        <v>401736</v>
      </c>
      <c r="G844" t="s">
        <v>126</v>
      </c>
    </row>
    <row r="845" spans="1:7" x14ac:dyDescent="0.25">
      <c r="A845" t="s">
        <v>150</v>
      </c>
      <c r="B845" t="s">
        <v>24</v>
      </c>
      <c r="C845" t="s">
        <v>25</v>
      </c>
      <c r="D845" s="7">
        <v>46045</v>
      </c>
      <c r="E845" t="s">
        <v>28</v>
      </c>
      <c r="F845" s="8">
        <v>1832381</v>
      </c>
      <c r="G845" t="s">
        <v>126</v>
      </c>
    </row>
    <row r="846" spans="1:7" x14ac:dyDescent="0.25">
      <c r="A846" t="s">
        <v>150</v>
      </c>
      <c r="B846" t="s">
        <v>29</v>
      </c>
      <c r="C846" t="s">
        <v>30</v>
      </c>
      <c r="D846" s="7">
        <v>46046</v>
      </c>
      <c r="E846" t="s">
        <v>229</v>
      </c>
      <c r="F846" s="8">
        <v>1333334</v>
      </c>
      <c r="G846" t="s">
        <v>126</v>
      </c>
    </row>
    <row r="847" spans="1:7" x14ac:dyDescent="0.25">
      <c r="A847" t="s">
        <v>150</v>
      </c>
      <c r="B847" t="s">
        <v>24</v>
      </c>
      <c r="C847" t="s">
        <v>25</v>
      </c>
      <c r="D847" s="7">
        <v>46047</v>
      </c>
      <c r="E847" t="s">
        <v>59</v>
      </c>
      <c r="F847" s="8">
        <v>30375</v>
      </c>
      <c r="G847" t="s">
        <v>126</v>
      </c>
    </row>
    <row r="848" spans="1:7" x14ac:dyDescent="0.25">
      <c r="A848" t="s">
        <v>150</v>
      </c>
      <c r="B848" t="s">
        <v>24</v>
      </c>
      <c r="C848" t="s">
        <v>25</v>
      </c>
      <c r="D848" s="7">
        <v>46049</v>
      </c>
      <c r="E848" t="s">
        <v>209</v>
      </c>
      <c r="F848" s="8">
        <v>222857.5</v>
      </c>
      <c r="G848" t="s">
        <v>126</v>
      </c>
    </row>
    <row r="849" spans="1:7" x14ac:dyDescent="0.25">
      <c r="A849" t="s">
        <v>150</v>
      </c>
      <c r="B849" t="s">
        <v>24</v>
      </c>
      <c r="C849" t="s">
        <v>30</v>
      </c>
      <c r="D849" s="7">
        <v>46051</v>
      </c>
      <c r="E849" t="s">
        <v>230</v>
      </c>
      <c r="F849" s="8">
        <v>952381</v>
      </c>
      <c r="G849" t="s">
        <v>126</v>
      </c>
    </row>
    <row r="850" spans="1:7" x14ac:dyDescent="0.25">
      <c r="A850" t="s">
        <v>150</v>
      </c>
      <c r="B850" t="s">
        <v>29</v>
      </c>
      <c r="C850" t="s">
        <v>30</v>
      </c>
      <c r="D850" s="7">
        <v>46051</v>
      </c>
      <c r="E850" t="s">
        <v>225</v>
      </c>
      <c r="F850" s="8">
        <v>95238.1</v>
      </c>
      <c r="G850" t="s">
        <v>126</v>
      </c>
    </row>
    <row r="851" spans="1:7" x14ac:dyDescent="0.25">
      <c r="A851" t="s">
        <v>150</v>
      </c>
      <c r="B851" t="s">
        <v>29</v>
      </c>
      <c r="C851" t="s">
        <v>30</v>
      </c>
      <c r="D851" s="7">
        <v>46057</v>
      </c>
      <c r="E851" t="s">
        <v>231</v>
      </c>
      <c r="F851" s="8">
        <v>3981570</v>
      </c>
      <c r="G851" t="s">
        <v>126</v>
      </c>
    </row>
  </sheetData>
  <autoFilter ref="A1:G85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Normal="100" workbookViewId="0">
      <selection activeCell="E21" sqref="E21"/>
    </sheetView>
  </sheetViews>
  <sheetFormatPr defaultColWidth="8.7109375" defaultRowHeight="15" x14ac:dyDescent="0.25"/>
  <cols>
    <col min="1" max="1" width="28.7109375" customWidth="1"/>
    <col min="2" max="2" width="8" customWidth="1"/>
    <col min="3" max="5" width="13" customWidth="1"/>
    <col min="6" max="6" width="12" customWidth="1"/>
    <col min="7" max="7" width="14" customWidth="1"/>
  </cols>
  <sheetData>
    <row r="1" spans="1:7" ht="18" x14ac:dyDescent="0.25">
      <c r="A1" s="1" t="s">
        <v>232</v>
      </c>
    </row>
    <row r="3" spans="1:7" x14ac:dyDescent="0.25">
      <c r="A3" s="3" t="s">
        <v>233</v>
      </c>
      <c r="B3" s="3" t="s">
        <v>10</v>
      </c>
      <c r="C3" s="3" t="s">
        <v>234</v>
      </c>
      <c r="D3" s="3" t="s">
        <v>235</v>
      </c>
      <c r="E3" s="3" t="s">
        <v>236</v>
      </c>
      <c r="F3" s="3" t="s">
        <v>237</v>
      </c>
      <c r="G3" s="3" t="s">
        <v>238</v>
      </c>
    </row>
    <row r="4" spans="1:7" x14ac:dyDescent="0.25">
      <c r="A4" s="4" t="s">
        <v>239</v>
      </c>
      <c r="B4" s="5">
        <v>578</v>
      </c>
      <c r="C4" s="5">
        <v>514839</v>
      </c>
      <c r="D4" s="5">
        <v>349333</v>
      </c>
      <c r="E4" s="5">
        <v>511815</v>
      </c>
      <c r="F4" s="5">
        <v>10476</v>
      </c>
      <c r="G4" s="5">
        <v>4000000</v>
      </c>
    </row>
    <row r="5" spans="1:7" x14ac:dyDescent="0.25">
      <c r="A5" s="4" t="s">
        <v>240</v>
      </c>
      <c r="B5" s="5">
        <v>272</v>
      </c>
      <c r="C5" s="5">
        <v>995213</v>
      </c>
      <c r="D5" s="5">
        <v>565386</v>
      </c>
      <c r="E5" s="5">
        <v>1082649</v>
      </c>
      <c r="F5" s="5">
        <v>1907</v>
      </c>
      <c r="G5" s="5">
        <v>5041701</v>
      </c>
    </row>
    <row r="6" spans="1:7" x14ac:dyDescent="0.25">
      <c r="A6" s="4" t="s">
        <v>241</v>
      </c>
      <c r="B6" s="5">
        <v>79</v>
      </c>
      <c r="C6" s="9">
        <v>126.5</v>
      </c>
      <c r="D6" s="9">
        <v>120</v>
      </c>
      <c r="E6" s="9">
        <v>25.3</v>
      </c>
      <c r="F6" s="9">
        <v>89</v>
      </c>
      <c r="G6" s="9">
        <v>179.1</v>
      </c>
    </row>
    <row r="7" spans="1:7" x14ac:dyDescent="0.25">
      <c r="A7" s="4" t="s">
        <v>242</v>
      </c>
      <c r="B7" s="5">
        <v>130</v>
      </c>
      <c r="C7" s="5">
        <v>2272582</v>
      </c>
      <c r="D7" s="5">
        <v>893287</v>
      </c>
      <c r="E7" s="5">
        <v>4303064</v>
      </c>
      <c r="F7" s="5">
        <v>10476</v>
      </c>
      <c r="G7" s="5">
        <v>30087807</v>
      </c>
    </row>
    <row r="8" spans="1:7" x14ac:dyDescent="0.25">
      <c r="A8" s="4" t="s">
        <v>243</v>
      </c>
      <c r="B8" s="5">
        <v>130</v>
      </c>
      <c r="C8" s="9">
        <v>4.3</v>
      </c>
      <c r="D8" s="9">
        <v>2</v>
      </c>
      <c r="E8" s="9">
        <v>6</v>
      </c>
      <c r="F8" s="9">
        <v>1</v>
      </c>
      <c r="G8" s="9">
        <v>36</v>
      </c>
    </row>
    <row r="9" spans="1:7" x14ac:dyDescent="0.25">
      <c r="A9" s="4" t="s">
        <v>244</v>
      </c>
      <c r="B9" s="5">
        <v>130</v>
      </c>
      <c r="C9" s="9">
        <v>55.7</v>
      </c>
      <c r="D9" s="9">
        <v>54.8</v>
      </c>
      <c r="E9" s="9">
        <v>13.6</v>
      </c>
      <c r="F9" s="9">
        <v>27.8</v>
      </c>
      <c r="G9" s="9">
        <v>100</v>
      </c>
    </row>
    <row r="10" spans="1:7" x14ac:dyDescent="0.25">
      <c r="A10" s="4" t="s">
        <v>245</v>
      </c>
      <c r="B10" s="5">
        <v>3</v>
      </c>
      <c r="C10" s="9">
        <v>80.099999999999994</v>
      </c>
      <c r="D10" s="9">
        <v>119.9</v>
      </c>
      <c r="E10" s="9">
        <v>173.5</v>
      </c>
      <c r="F10" s="9">
        <v>-109.8</v>
      </c>
      <c r="G10" s="9">
        <v>230.2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zoomScaleNormal="100" workbookViewId="0"/>
  </sheetViews>
  <sheetFormatPr defaultColWidth="8.7109375" defaultRowHeight="15" x14ac:dyDescent="0.25"/>
  <cols>
    <col min="1" max="1" width="15" customWidth="1"/>
    <col min="2" max="4" width="16" customWidth="1"/>
  </cols>
  <sheetData>
    <row r="1" spans="1:4" ht="18" x14ac:dyDescent="0.25">
      <c r="A1" s="1" t="s">
        <v>246</v>
      </c>
    </row>
    <row r="3" spans="1:4" x14ac:dyDescent="0.25">
      <c r="A3" s="3" t="s">
        <v>22</v>
      </c>
      <c r="B3" s="3" t="s">
        <v>247</v>
      </c>
      <c r="C3" s="3" t="s">
        <v>248</v>
      </c>
      <c r="D3" s="3" t="s">
        <v>249</v>
      </c>
    </row>
    <row r="4" spans="1:4" x14ac:dyDescent="0.25">
      <c r="A4" s="4" t="s">
        <v>27</v>
      </c>
      <c r="B4" s="5">
        <v>72524077</v>
      </c>
      <c r="C4" s="5">
        <v>73780058</v>
      </c>
      <c r="D4" s="10">
        <f>B4-C4</f>
        <v>-1255981</v>
      </c>
    </row>
    <row r="5" spans="1:4" x14ac:dyDescent="0.25">
      <c r="A5" s="4" t="s">
        <v>61</v>
      </c>
      <c r="B5" s="5">
        <v>76227072</v>
      </c>
      <c r="C5" s="5">
        <v>68141555</v>
      </c>
      <c r="D5" s="10">
        <f>B5-C5</f>
        <v>8085517</v>
      </c>
    </row>
    <row r="6" spans="1:4" x14ac:dyDescent="0.25">
      <c r="A6" s="4" t="s">
        <v>94</v>
      </c>
      <c r="B6" s="5">
        <v>81086538</v>
      </c>
      <c r="C6" s="5">
        <v>70636908</v>
      </c>
      <c r="D6" s="10">
        <f>B6-C6</f>
        <v>10449630</v>
      </c>
    </row>
    <row r="7" spans="1:4" x14ac:dyDescent="0.25">
      <c r="A7" s="4" t="s">
        <v>126</v>
      </c>
      <c r="B7" s="5">
        <v>67738985</v>
      </c>
      <c r="C7" s="5">
        <v>58139303</v>
      </c>
      <c r="D7" s="10">
        <f>B7-C7</f>
        <v>9599682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zoomScaleNormal="100" workbookViewId="0"/>
  </sheetViews>
  <sheetFormatPr defaultColWidth="8.7109375" defaultRowHeight="15" x14ac:dyDescent="0.25"/>
  <cols>
    <col min="1" max="3" width="16" customWidth="1"/>
  </cols>
  <sheetData>
    <row r="1" spans="1:3" ht="18" x14ac:dyDescent="0.25">
      <c r="A1" s="1" t="s">
        <v>250</v>
      </c>
    </row>
    <row r="3" spans="1:3" x14ac:dyDescent="0.25">
      <c r="A3" s="3" t="s">
        <v>251</v>
      </c>
      <c r="B3" s="3" t="s">
        <v>252</v>
      </c>
      <c r="C3" s="3" t="s">
        <v>253</v>
      </c>
    </row>
    <row r="4" spans="1:3" x14ac:dyDescent="0.25">
      <c r="A4" s="4" t="s">
        <v>254</v>
      </c>
      <c r="B4" s="5">
        <v>2527935</v>
      </c>
      <c r="C4" s="5">
        <v>2167929</v>
      </c>
    </row>
    <row r="5" spans="1:3" x14ac:dyDescent="0.25">
      <c r="A5" s="4" t="s">
        <v>255</v>
      </c>
      <c r="B5" s="5">
        <v>2181363</v>
      </c>
      <c r="C5" s="5">
        <v>1929917</v>
      </c>
    </row>
    <row r="6" spans="1:3" x14ac:dyDescent="0.25">
      <c r="A6" s="4" t="s">
        <v>256</v>
      </c>
      <c r="B6" s="5">
        <v>4304027</v>
      </c>
      <c r="C6" s="5">
        <v>3028328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Normal="100" workbookViewId="0"/>
  </sheetViews>
  <sheetFormatPr defaultColWidth="8.7109375" defaultRowHeight="15" x14ac:dyDescent="0.25"/>
  <cols>
    <col min="1" max="1" width="10" customWidth="1"/>
    <col min="2" max="6" width="9" customWidth="1"/>
  </cols>
  <sheetData>
    <row r="1" spans="1:6" ht="18" x14ac:dyDescent="0.25">
      <c r="A1" s="1" t="s">
        <v>257</v>
      </c>
    </row>
    <row r="3" spans="1:6" x14ac:dyDescent="0.25">
      <c r="A3" s="3" t="s">
        <v>258</v>
      </c>
      <c r="B3" s="3" t="s">
        <v>259</v>
      </c>
      <c r="C3" s="3" t="s">
        <v>260</v>
      </c>
      <c r="D3" s="3" t="s">
        <v>261</v>
      </c>
      <c r="E3" s="3" t="s">
        <v>262</v>
      </c>
      <c r="F3" s="3" t="s">
        <v>263</v>
      </c>
    </row>
    <row r="4" spans="1:6" x14ac:dyDescent="0.25">
      <c r="A4" s="4" t="s">
        <v>264</v>
      </c>
      <c r="B4" s="9">
        <v>17.399999999999999</v>
      </c>
      <c r="C4" s="11">
        <v>22</v>
      </c>
      <c r="D4" s="9">
        <v>-4.5999999999999996</v>
      </c>
      <c r="E4" s="12">
        <v>-0.22</v>
      </c>
      <c r="F4" s="4" t="s">
        <v>265</v>
      </c>
    </row>
    <row r="5" spans="1:6" x14ac:dyDescent="0.25">
      <c r="A5" s="4" t="s">
        <v>266</v>
      </c>
      <c r="B5" s="9">
        <v>20.2</v>
      </c>
      <c r="C5" s="11">
        <v>22</v>
      </c>
      <c r="D5" s="9">
        <v>-1.8</v>
      </c>
      <c r="E5" s="12">
        <v>0.39</v>
      </c>
      <c r="F5" s="4" t="s">
        <v>265</v>
      </c>
    </row>
    <row r="6" spans="1:6" x14ac:dyDescent="0.25">
      <c r="A6" s="4" t="s">
        <v>267</v>
      </c>
      <c r="B6" s="9">
        <v>22.8</v>
      </c>
      <c r="C6" s="11">
        <v>22</v>
      </c>
      <c r="D6" s="9">
        <v>0.8</v>
      </c>
      <c r="E6" s="12">
        <v>0.95</v>
      </c>
      <c r="F6" s="4" t="s">
        <v>265</v>
      </c>
    </row>
    <row r="7" spans="1:6" x14ac:dyDescent="0.25">
      <c r="A7" s="4" t="s">
        <v>268</v>
      </c>
      <c r="B7" s="9">
        <v>19.8</v>
      </c>
      <c r="C7" s="11">
        <v>22</v>
      </c>
      <c r="D7" s="9">
        <v>-2.2000000000000002</v>
      </c>
      <c r="E7" s="12">
        <v>0.28999999999999998</v>
      </c>
      <c r="F7" s="4" t="s">
        <v>265</v>
      </c>
    </row>
    <row r="8" spans="1:6" x14ac:dyDescent="0.25">
      <c r="A8" s="4" t="s">
        <v>269</v>
      </c>
      <c r="B8" s="9">
        <v>10.8</v>
      </c>
      <c r="C8" s="11">
        <v>22</v>
      </c>
      <c r="D8" s="9">
        <v>-11.2</v>
      </c>
      <c r="E8" s="12">
        <v>-1.66</v>
      </c>
      <c r="F8" s="4" t="s">
        <v>270</v>
      </c>
    </row>
    <row r="9" spans="1:6" x14ac:dyDescent="0.25">
      <c r="A9" s="4" t="s">
        <v>271</v>
      </c>
      <c r="B9" s="9">
        <v>17.8</v>
      </c>
      <c r="C9" s="11">
        <v>22</v>
      </c>
      <c r="D9" s="9">
        <v>-4.2</v>
      </c>
      <c r="E9" s="12">
        <v>-0.16</v>
      </c>
      <c r="F9" s="4" t="s">
        <v>265</v>
      </c>
    </row>
    <row r="10" spans="1:6" x14ac:dyDescent="0.25">
      <c r="A10" s="4" t="s">
        <v>272</v>
      </c>
      <c r="B10" s="9">
        <v>13.9</v>
      </c>
      <c r="C10" s="11">
        <v>22</v>
      </c>
      <c r="D10" s="9">
        <v>-8.1</v>
      </c>
      <c r="E10" s="12">
        <v>-1</v>
      </c>
      <c r="F10" s="4" t="s">
        <v>265</v>
      </c>
    </row>
    <row r="11" spans="1:6" x14ac:dyDescent="0.25">
      <c r="A11" s="4" t="s">
        <v>273</v>
      </c>
      <c r="B11" s="9">
        <v>25</v>
      </c>
      <c r="C11" s="11">
        <v>22</v>
      </c>
      <c r="D11" s="9">
        <v>3</v>
      </c>
      <c r="E11" s="12">
        <v>1.42</v>
      </c>
      <c r="F11" s="4" t="s">
        <v>265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4" customWidth="1"/>
    <col min="3" max="3" width="18" customWidth="1"/>
  </cols>
  <sheetData>
    <row r="1" spans="1:2" ht="18" x14ac:dyDescent="0.25">
      <c r="A1" s="1" t="s">
        <v>274</v>
      </c>
    </row>
    <row r="2" spans="1:2" x14ac:dyDescent="0.25">
      <c r="A2" s="6" t="s">
        <v>275</v>
      </c>
    </row>
    <row r="4" spans="1:2" x14ac:dyDescent="0.25">
      <c r="A4" s="2" t="s">
        <v>276</v>
      </c>
    </row>
    <row r="5" spans="1:2" x14ac:dyDescent="0.25">
      <c r="A5" s="4" t="s">
        <v>277</v>
      </c>
      <c r="B5" s="13">
        <v>123.2</v>
      </c>
    </row>
    <row r="6" spans="1:2" x14ac:dyDescent="0.25">
      <c r="A6" s="4" t="s">
        <v>278</v>
      </c>
      <c r="B6" s="14">
        <v>0.22</v>
      </c>
    </row>
    <row r="7" spans="1:2" x14ac:dyDescent="0.25">
      <c r="A7" s="4" t="s">
        <v>279</v>
      </c>
      <c r="B7" s="13">
        <v>30</v>
      </c>
    </row>
    <row r="8" spans="1:2" x14ac:dyDescent="0.25">
      <c r="A8" s="4" t="s">
        <v>280</v>
      </c>
      <c r="B8" s="13">
        <v>709.8</v>
      </c>
    </row>
    <row r="9" spans="1:2" x14ac:dyDescent="0.25">
      <c r="A9" s="4"/>
      <c r="B9" s="15"/>
    </row>
    <row r="10" spans="1:2" x14ac:dyDescent="0.25">
      <c r="A10" s="16" t="s">
        <v>281</v>
      </c>
      <c r="B10" s="15"/>
    </row>
    <row r="11" spans="1:2" x14ac:dyDescent="0.25">
      <c r="A11" s="4" t="s">
        <v>282</v>
      </c>
      <c r="B11" s="15">
        <f>B5/B6</f>
        <v>560</v>
      </c>
    </row>
    <row r="12" spans="1:2" x14ac:dyDescent="0.25">
      <c r="A12" s="4" t="s">
        <v>283</v>
      </c>
      <c r="B12" s="15">
        <f>B11+B7</f>
        <v>590</v>
      </c>
    </row>
    <row r="13" spans="1:2" x14ac:dyDescent="0.25">
      <c r="A13" s="4" t="s">
        <v>284</v>
      </c>
      <c r="B13" s="15">
        <f>B8-B12</f>
        <v>119.79999999999995</v>
      </c>
    </row>
    <row r="14" spans="1:2" x14ac:dyDescent="0.25">
      <c r="A14" s="4" t="s">
        <v>285</v>
      </c>
      <c r="B14" s="17">
        <f>B13/B8</f>
        <v>0.16877993801070718</v>
      </c>
    </row>
    <row r="15" spans="1:2" x14ac:dyDescent="0.25">
      <c r="A15" s="4" t="s">
        <v>286</v>
      </c>
      <c r="B15" s="15">
        <f>B12</f>
        <v>590</v>
      </c>
    </row>
    <row r="16" spans="1:2" x14ac:dyDescent="0.25">
      <c r="A16" s="4" t="s">
        <v>287</v>
      </c>
      <c r="B16" s="17">
        <f>B5/(B8-B7)</f>
        <v>0.18122977346278318</v>
      </c>
    </row>
    <row r="18" spans="1:3" x14ac:dyDescent="0.25">
      <c r="A18" s="2" t="s">
        <v>288</v>
      </c>
    </row>
    <row r="19" spans="1:3" x14ac:dyDescent="0.25">
      <c r="A19" s="3" t="s">
        <v>289</v>
      </c>
      <c r="B19" s="3" t="s">
        <v>290</v>
      </c>
    </row>
    <row r="20" spans="1:3" x14ac:dyDescent="0.25">
      <c r="A20" s="4" t="s">
        <v>291</v>
      </c>
      <c r="B20" s="10">
        <f>B8</f>
        <v>709.8</v>
      </c>
    </row>
    <row r="21" spans="1:3" x14ac:dyDescent="0.25">
      <c r="A21" s="4" t="s">
        <v>292</v>
      </c>
      <c r="B21" s="10">
        <f>B11</f>
        <v>560</v>
      </c>
    </row>
    <row r="22" spans="1:3" x14ac:dyDescent="0.25">
      <c r="A22" s="4" t="s">
        <v>293</v>
      </c>
      <c r="B22" s="10">
        <f>B7</f>
        <v>30</v>
      </c>
    </row>
    <row r="23" spans="1:3" x14ac:dyDescent="0.25">
      <c r="A23" s="4" t="s">
        <v>294</v>
      </c>
      <c r="B23" s="10">
        <f>B13</f>
        <v>119.79999999999995</v>
      </c>
    </row>
    <row r="26" spans="1:3" x14ac:dyDescent="0.25">
      <c r="A26" s="2" t="s">
        <v>295</v>
      </c>
    </row>
    <row r="27" spans="1:3" x14ac:dyDescent="0.25">
      <c r="A27" s="3" t="s">
        <v>296</v>
      </c>
      <c r="B27" s="3" t="s">
        <v>297</v>
      </c>
      <c r="C27" s="3" t="s">
        <v>298</v>
      </c>
    </row>
    <row r="28" spans="1:3" x14ac:dyDescent="0.25">
      <c r="A28" s="4" t="s">
        <v>299</v>
      </c>
      <c r="B28" s="5">
        <v>820</v>
      </c>
      <c r="C28" s="10">
        <f>B28-B12</f>
        <v>230</v>
      </c>
    </row>
    <row r="29" spans="1:3" x14ac:dyDescent="0.25">
      <c r="A29" s="4" t="s">
        <v>300</v>
      </c>
      <c r="B29" s="5">
        <v>480</v>
      </c>
      <c r="C29" s="10">
        <f>B29-B12</f>
        <v>-110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/>
  </sheetViews>
  <sheetFormatPr defaultColWidth="8.7109375" defaultRowHeight="15" x14ac:dyDescent="0.25"/>
  <cols>
    <col min="1" max="1" width="16" customWidth="1"/>
    <col min="2" max="6" width="10" customWidth="1"/>
  </cols>
  <sheetData>
    <row r="1" spans="1:6" ht="18" x14ac:dyDescent="0.25">
      <c r="A1" s="1" t="s">
        <v>301</v>
      </c>
    </row>
    <row r="2" spans="1:6" x14ac:dyDescent="0.25">
      <c r="A2" s="6" t="s">
        <v>302</v>
      </c>
    </row>
    <row r="4" spans="1:6" x14ac:dyDescent="0.25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</row>
    <row r="5" spans="1:6" x14ac:dyDescent="0.25">
      <c r="A5" s="3" t="s">
        <v>304</v>
      </c>
      <c r="B5" s="18">
        <f>'P&amp;L Model'!$B$8*(1+-0.1)-('P&amp;L Model'!$B$5*(1+-0.1)/'P&amp;L Model'!$B$6+'P&amp;L Model'!$B$7)</f>
        <v>104.81999999999994</v>
      </c>
      <c r="C5" s="18">
        <f>'P&amp;L Model'!$B$8*(1+-0.05)-('P&amp;L Model'!$B$5*(1+-0.1)/'P&amp;L Model'!$B$6+'P&amp;L Model'!$B$7)</f>
        <v>140.30999999999995</v>
      </c>
      <c r="D5" s="18">
        <f>'P&amp;L Model'!$B$8*(1+0)-('P&amp;L Model'!$B$5*(1+-0.1)/'P&amp;L Model'!$B$6+'P&amp;L Model'!$B$7)</f>
        <v>175.79999999999995</v>
      </c>
      <c r="E5" s="18">
        <f>'P&amp;L Model'!$B$8*(1+0.05)-('P&amp;L Model'!$B$5*(1+-0.1)/'P&amp;L Model'!$B$6+'P&amp;L Model'!$B$7)</f>
        <v>211.28999999999996</v>
      </c>
      <c r="F5" s="18">
        <f>'P&amp;L Model'!$B$8*(1+0.1)-('P&amp;L Model'!$B$5*(1+-0.1)/'P&amp;L Model'!$B$6+'P&amp;L Model'!$B$7)</f>
        <v>246.77999999999997</v>
      </c>
    </row>
    <row r="6" spans="1:6" x14ac:dyDescent="0.25">
      <c r="A6" s="3" t="s">
        <v>305</v>
      </c>
      <c r="B6" s="18">
        <f>'P&amp;L Model'!$B$8*(1+-0.1)-('P&amp;L Model'!$B$5*(1+-0.05)/'P&amp;L Model'!$B$6+'P&amp;L Model'!$B$7)</f>
        <v>76.819999999999936</v>
      </c>
      <c r="C6" s="18">
        <f>'P&amp;L Model'!$B$8*(1+-0.05)-('P&amp;L Model'!$B$5*(1+-0.05)/'P&amp;L Model'!$B$6+'P&amp;L Model'!$B$7)</f>
        <v>112.30999999999995</v>
      </c>
      <c r="D6" s="18">
        <f>'P&amp;L Model'!$B$8*(1+0)-('P&amp;L Model'!$B$5*(1+-0.05)/'P&amp;L Model'!$B$6+'P&amp;L Model'!$B$7)</f>
        <v>147.79999999999995</v>
      </c>
      <c r="E6" s="18">
        <f>'P&amp;L Model'!$B$8*(1+0.05)-('P&amp;L Model'!$B$5*(1+-0.05)/'P&amp;L Model'!$B$6+'P&amp;L Model'!$B$7)</f>
        <v>183.28999999999996</v>
      </c>
      <c r="F6" s="18">
        <f>'P&amp;L Model'!$B$8*(1+0.1)-('P&amp;L Model'!$B$5*(1+-0.05)/'P&amp;L Model'!$B$6+'P&amp;L Model'!$B$7)</f>
        <v>218.77999999999997</v>
      </c>
    </row>
    <row r="7" spans="1:6" x14ac:dyDescent="0.25">
      <c r="A7" s="3" t="s">
        <v>306</v>
      </c>
      <c r="B7" s="18">
        <f>'P&amp;L Model'!$B$8*(1+-0.1)-('P&amp;L Model'!$B$5*(1+0)/'P&amp;L Model'!$B$6+'P&amp;L Model'!$B$7)</f>
        <v>48.819999999999936</v>
      </c>
      <c r="C7" s="18">
        <f>'P&amp;L Model'!$B$8*(1+-0.05)-('P&amp;L Model'!$B$5*(1+0)/'P&amp;L Model'!$B$6+'P&amp;L Model'!$B$7)</f>
        <v>84.309999999999945</v>
      </c>
      <c r="D7" s="18">
        <f>'P&amp;L Model'!$B$8*(1+0)-('P&amp;L Model'!$B$5*(1+0)/'P&amp;L Model'!$B$6+'P&amp;L Model'!$B$7)</f>
        <v>119.79999999999995</v>
      </c>
      <c r="E7" s="18">
        <f>'P&amp;L Model'!$B$8*(1+0.05)-('P&amp;L Model'!$B$5*(1+0)/'P&amp;L Model'!$B$6+'P&amp;L Model'!$B$7)</f>
        <v>155.28999999999996</v>
      </c>
      <c r="F7" s="18">
        <f>'P&amp;L Model'!$B$8*(1+0.1)-('P&amp;L Model'!$B$5*(1+0)/'P&amp;L Model'!$B$6+'P&amp;L Model'!$B$7)</f>
        <v>190.77999999999997</v>
      </c>
    </row>
    <row r="8" spans="1:6" x14ac:dyDescent="0.25">
      <c r="A8" s="3" t="s">
        <v>307</v>
      </c>
      <c r="B8" s="18">
        <f>'P&amp;L Model'!$B$8*(1+-0.1)-('P&amp;L Model'!$B$5*(1+0.05)/'P&amp;L Model'!$B$6+'P&amp;L Model'!$B$7)</f>
        <v>20.819999999999823</v>
      </c>
      <c r="C8" s="18">
        <f>'P&amp;L Model'!$B$8*(1+-0.05)-('P&amp;L Model'!$B$5*(1+0.05)/'P&amp;L Model'!$B$6+'P&amp;L Model'!$B$7)</f>
        <v>56.309999999999832</v>
      </c>
      <c r="D8" s="18">
        <f>'P&amp;L Model'!$B$8*(1+0)-('P&amp;L Model'!$B$5*(1+0.05)/'P&amp;L Model'!$B$6+'P&amp;L Model'!$B$7)</f>
        <v>91.799999999999841</v>
      </c>
      <c r="E8" s="18">
        <f>'P&amp;L Model'!$B$8*(1+0.05)-('P&amp;L Model'!$B$5*(1+0.05)/'P&amp;L Model'!$B$6+'P&amp;L Model'!$B$7)</f>
        <v>127.28999999999985</v>
      </c>
      <c r="F8" s="18">
        <f>'P&amp;L Model'!$B$8*(1+0.1)-('P&amp;L Model'!$B$5*(1+0.05)/'P&amp;L Model'!$B$6+'P&amp;L Model'!$B$7)</f>
        <v>162.77999999999986</v>
      </c>
    </row>
    <row r="9" spans="1:6" x14ac:dyDescent="0.25">
      <c r="A9" s="3" t="s">
        <v>308</v>
      </c>
      <c r="B9" s="18">
        <f>'P&amp;L Model'!$B$8*(1+-0.1)-('P&amp;L Model'!$B$5*(1+0.1)/'P&amp;L Model'!$B$6+'P&amp;L Model'!$B$7)</f>
        <v>-7.1800000000000637</v>
      </c>
      <c r="C9" s="18">
        <f>'P&amp;L Model'!$B$8*(1+-0.05)-('P&amp;L Model'!$B$5*(1+0.1)/'P&amp;L Model'!$B$6+'P&amp;L Model'!$B$7)</f>
        <v>28.309999999999945</v>
      </c>
      <c r="D9" s="18">
        <f>'P&amp;L Model'!$B$8*(1+0)-('P&amp;L Model'!$B$5*(1+0.1)/'P&amp;L Model'!$B$6+'P&amp;L Model'!$B$7)</f>
        <v>63.799999999999955</v>
      </c>
      <c r="E9" s="18">
        <f>'P&amp;L Model'!$B$8*(1+0.05)-('P&amp;L Model'!$B$5*(1+0.1)/'P&amp;L Model'!$B$6+'P&amp;L Model'!$B$7)</f>
        <v>99.289999999999964</v>
      </c>
      <c r="F9" s="18">
        <f>'P&amp;L Model'!$B$8*(1+0.1)-('P&amp;L Model'!$B$5*(1+0.1)/'P&amp;L Model'!$B$6+'P&amp;L Model'!$B$7)</f>
        <v>134.77999999999997</v>
      </c>
    </row>
  </sheetData>
  <conditionalFormatting sqref="B5:F9">
    <cfRule type="colorScale" priority="2">
      <colorScale>
        <cfvo type="num" val="-50"/>
        <cfvo type="num" val="60"/>
        <cfvo type="num" val="25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R173"/>
  <sheetViews>
    <sheetView tabSelected="1" topLeftCell="A145" zoomScaleNormal="100" workbookViewId="0">
      <selection activeCell="I5" sqref="I5"/>
    </sheetView>
  </sheetViews>
  <sheetFormatPr defaultColWidth="8.7109375" defaultRowHeight="15" x14ac:dyDescent="0.25"/>
  <cols>
    <col min="1" max="1" width="28" customWidth="1"/>
    <col min="2" max="2" width="14" customWidth="1"/>
    <col min="3" max="3" width="7" customWidth="1"/>
    <col min="4" max="4" width="12" customWidth="1"/>
    <col min="5" max="5" width="10" customWidth="1"/>
    <col min="6" max="6" width="9" customWidth="1"/>
    <col min="7" max="7" width="8" customWidth="1"/>
    <col min="8" max="8" width="7" customWidth="1"/>
    <col min="9" max="9" width="8" customWidth="1"/>
    <col min="10" max="10" width="13" customWidth="1"/>
    <col min="14" max="14" width="14.5703125" customWidth="1"/>
  </cols>
  <sheetData>
    <row r="1" spans="1:15" ht="18" x14ac:dyDescent="0.25">
      <c r="A1" s="1" t="s">
        <v>309</v>
      </c>
    </row>
    <row r="2" spans="1:15" x14ac:dyDescent="0.25">
      <c r="A2" s="6" t="s">
        <v>310</v>
      </c>
      <c r="L2" s="6" t="s">
        <v>311</v>
      </c>
    </row>
    <row r="4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L4" t="s">
        <v>312</v>
      </c>
      <c r="M4" t="s">
        <v>313</v>
      </c>
      <c r="N4" t="s">
        <v>314</v>
      </c>
      <c r="O4" t="s">
        <v>315</v>
      </c>
    </row>
    <row r="5" spans="1:15" hidden="1" x14ac:dyDescent="0.25">
      <c r="A5" s="4" t="s">
        <v>28</v>
      </c>
      <c r="B5" s="5">
        <v>30087807</v>
      </c>
      <c r="C5" s="12">
        <v>26</v>
      </c>
      <c r="D5" s="5">
        <v>1157223</v>
      </c>
      <c r="E5" s="12">
        <v>18</v>
      </c>
      <c r="F5" s="12">
        <v>1368</v>
      </c>
      <c r="G5" s="12">
        <v>23</v>
      </c>
      <c r="H5" s="9">
        <v>29.6</v>
      </c>
      <c r="I5" s="4" t="s">
        <v>313</v>
      </c>
      <c r="J5" s="5">
        <v>2616000</v>
      </c>
      <c r="L5">
        <v>18</v>
      </c>
      <c r="M5">
        <v>30087807</v>
      </c>
    </row>
    <row r="6" spans="1:15" hidden="1" x14ac:dyDescent="0.25">
      <c r="A6" s="4" t="s">
        <v>74</v>
      </c>
      <c r="B6" s="5">
        <v>24082072</v>
      </c>
      <c r="C6" s="12">
        <v>13</v>
      </c>
      <c r="D6" s="5">
        <v>1852467</v>
      </c>
      <c r="E6" s="12">
        <v>470</v>
      </c>
      <c r="F6" s="12">
        <v>892</v>
      </c>
      <c r="G6" s="12">
        <v>11</v>
      </c>
      <c r="H6" s="9">
        <v>51.4</v>
      </c>
      <c r="I6" s="4" t="s">
        <v>314</v>
      </c>
      <c r="J6" s="5">
        <v>2189000</v>
      </c>
      <c r="L6">
        <v>470</v>
      </c>
      <c r="N6">
        <v>24082072</v>
      </c>
    </row>
    <row r="7" spans="1:15" hidden="1" x14ac:dyDescent="0.25">
      <c r="A7" s="4" t="s">
        <v>90</v>
      </c>
      <c r="B7" s="5">
        <v>20570081</v>
      </c>
      <c r="C7" s="12">
        <v>19</v>
      </c>
      <c r="D7" s="5">
        <v>1082636</v>
      </c>
      <c r="E7" s="12">
        <v>83</v>
      </c>
      <c r="F7" s="12">
        <v>1322</v>
      </c>
      <c r="G7" s="12">
        <v>16</v>
      </c>
      <c r="H7" s="9">
        <v>30.9</v>
      </c>
      <c r="I7" s="4" t="s">
        <v>313</v>
      </c>
      <c r="J7" s="5">
        <v>2571000</v>
      </c>
      <c r="L7">
        <v>83</v>
      </c>
      <c r="M7">
        <v>20570081</v>
      </c>
    </row>
    <row r="8" spans="1:15" hidden="1" x14ac:dyDescent="0.25">
      <c r="A8" s="4" t="s">
        <v>182</v>
      </c>
      <c r="B8" s="5">
        <v>17125429</v>
      </c>
      <c r="C8" s="12">
        <v>33</v>
      </c>
      <c r="D8" s="5">
        <v>518952</v>
      </c>
      <c r="E8" s="12">
        <v>45</v>
      </c>
      <c r="F8" s="12">
        <v>833</v>
      </c>
      <c r="G8" s="12">
        <v>23</v>
      </c>
      <c r="H8" s="9">
        <v>31.1</v>
      </c>
      <c r="I8" s="4" t="s">
        <v>313</v>
      </c>
      <c r="J8" s="5">
        <v>1489000</v>
      </c>
      <c r="L8">
        <v>45</v>
      </c>
      <c r="M8">
        <v>17125429</v>
      </c>
    </row>
    <row r="9" spans="1:15" hidden="1" x14ac:dyDescent="0.25">
      <c r="A9" s="4" t="s">
        <v>50</v>
      </c>
      <c r="B9" s="5">
        <v>10391863</v>
      </c>
      <c r="C9" s="12">
        <v>16</v>
      </c>
      <c r="D9" s="5">
        <v>649491</v>
      </c>
      <c r="E9" s="12">
        <v>524</v>
      </c>
      <c r="F9" s="12">
        <v>662</v>
      </c>
      <c r="G9" s="12">
        <v>10</v>
      </c>
      <c r="H9" s="9">
        <v>44.9</v>
      </c>
      <c r="I9" s="4" t="s">
        <v>314</v>
      </c>
      <c r="J9" s="5">
        <v>1039000</v>
      </c>
      <c r="L9">
        <v>524</v>
      </c>
      <c r="N9">
        <v>10391863</v>
      </c>
    </row>
    <row r="10" spans="1:15" hidden="1" x14ac:dyDescent="0.25">
      <c r="A10" s="4" t="s">
        <v>38</v>
      </c>
      <c r="B10" s="5">
        <v>10064274</v>
      </c>
      <c r="C10" s="12">
        <v>7</v>
      </c>
      <c r="D10" s="5">
        <v>1437753</v>
      </c>
      <c r="E10" s="12">
        <v>615</v>
      </c>
      <c r="F10" s="12">
        <v>706</v>
      </c>
      <c r="G10" s="12">
        <v>7</v>
      </c>
      <c r="H10" s="9">
        <v>58.1</v>
      </c>
      <c r="I10" s="4" t="s">
        <v>314</v>
      </c>
      <c r="J10" s="5">
        <v>1438000</v>
      </c>
      <c r="L10">
        <v>615</v>
      </c>
      <c r="N10">
        <v>10064274</v>
      </c>
    </row>
    <row r="11" spans="1:15" hidden="1" x14ac:dyDescent="0.25">
      <c r="A11" s="4" t="s">
        <v>64</v>
      </c>
      <c r="B11" s="5">
        <v>7999480</v>
      </c>
      <c r="C11" s="12">
        <v>36</v>
      </c>
      <c r="D11" s="5">
        <v>222208</v>
      </c>
      <c r="E11" s="12">
        <v>301</v>
      </c>
      <c r="F11" s="12">
        <v>1007</v>
      </c>
      <c r="G11" s="12">
        <v>26</v>
      </c>
      <c r="H11" s="9">
        <v>34.5</v>
      </c>
      <c r="I11" s="4" t="s">
        <v>314</v>
      </c>
      <c r="J11" s="5">
        <v>308000</v>
      </c>
      <c r="L11">
        <v>301</v>
      </c>
      <c r="N11">
        <v>7999480</v>
      </c>
    </row>
    <row r="12" spans="1:15" hidden="1" x14ac:dyDescent="0.25">
      <c r="A12" s="4" t="s">
        <v>39</v>
      </c>
      <c r="B12" s="5">
        <v>7725387</v>
      </c>
      <c r="C12" s="12">
        <v>26</v>
      </c>
      <c r="D12" s="5">
        <v>297130</v>
      </c>
      <c r="E12" s="12">
        <v>208</v>
      </c>
      <c r="F12" s="12">
        <v>1094</v>
      </c>
      <c r="G12" s="12">
        <v>18</v>
      </c>
      <c r="H12" s="9">
        <v>30.4</v>
      </c>
      <c r="I12" s="4" t="s">
        <v>313</v>
      </c>
      <c r="J12" s="5">
        <v>858000</v>
      </c>
      <c r="L12">
        <v>208</v>
      </c>
      <c r="M12">
        <v>7725387</v>
      </c>
    </row>
    <row r="13" spans="1:15" hidden="1" x14ac:dyDescent="0.25">
      <c r="A13" s="4" t="s">
        <v>100</v>
      </c>
      <c r="B13" s="5">
        <v>7561262</v>
      </c>
      <c r="C13" s="12">
        <v>11</v>
      </c>
      <c r="D13" s="5">
        <v>687387</v>
      </c>
      <c r="E13" s="12">
        <v>497</v>
      </c>
      <c r="F13" s="12">
        <v>805</v>
      </c>
      <c r="G13" s="12">
        <v>8</v>
      </c>
      <c r="H13" s="9">
        <v>45.1</v>
      </c>
      <c r="I13" s="4" t="s">
        <v>314</v>
      </c>
      <c r="J13" s="5">
        <v>945000</v>
      </c>
      <c r="L13">
        <v>497</v>
      </c>
      <c r="N13">
        <v>7561262</v>
      </c>
    </row>
    <row r="14" spans="1:15" hidden="1" x14ac:dyDescent="0.25">
      <c r="A14" s="4" t="s">
        <v>96</v>
      </c>
      <c r="B14" s="5">
        <v>7119041</v>
      </c>
      <c r="C14" s="12">
        <v>22</v>
      </c>
      <c r="D14" s="5">
        <v>323593</v>
      </c>
      <c r="E14" s="12">
        <v>31</v>
      </c>
      <c r="F14" s="12">
        <v>621</v>
      </c>
      <c r="G14" s="12">
        <v>12</v>
      </c>
      <c r="H14" s="9">
        <v>27.9</v>
      </c>
      <c r="I14" s="4" t="s">
        <v>313</v>
      </c>
      <c r="J14" s="5">
        <v>1187000</v>
      </c>
      <c r="L14">
        <v>31</v>
      </c>
      <c r="M14">
        <v>7119041</v>
      </c>
    </row>
    <row r="15" spans="1:15" hidden="1" x14ac:dyDescent="0.25">
      <c r="A15" s="4" t="s">
        <v>170</v>
      </c>
      <c r="B15" s="5">
        <v>5692491</v>
      </c>
      <c r="C15" s="12">
        <v>6</v>
      </c>
      <c r="D15" s="5">
        <v>948748</v>
      </c>
      <c r="E15" s="12">
        <v>222</v>
      </c>
      <c r="F15" s="12">
        <v>827</v>
      </c>
      <c r="G15" s="12">
        <v>6</v>
      </c>
      <c r="H15" s="9">
        <v>43.5</v>
      </c>
      <c r="I15" s="4" t="s">
        <v>314</v>
      </c>
      <c r="J15" s="5">
        <v>949000</v>
      </c>
      <c r="L15">
        <v>222</v>
      </c>
      <c r="N15">
        <v>5692491</v>
      </c>
    </row>
    <row r="16" spans="1:15" hidden="1" x14ac:dyDescent="0.25">
      <c r="A16" s="4" t="s">
        <v>70</v>
      </c>
      <c r="B16" s="5">
        <v>5687173</v>
      </c>
      <c r="C16" s="12">
        <v>13</v>
      </c>
      <c r="D16" s="5">
        <v>437475</v>
      </c>
      <c r="E16" s="12">
        <v>389</v>
      </c>
      <c r="F16" s="12">
        <v>546</v>
      </c>
      <c r="G16" s="12">
        <v>9</v>
      </c>
      <c r="H16" s="9">
        <v>43.9</v>
      </c>
      <c r="I16" s="4" t="s">
        <v>314</v>
      </c>
      <c r="J16" s="5">
        <v>632000</v>
      </c>
      <c r="L16">
        <v>389</v>
      </c>
      <c r="N16">
        <v>5687173</v>
      </c>
    </row>
    <row r="17" spans="1:15" hidden="1" x14ac:dyDescent="0.25">
      <c r="A17" s="4" t="s">
        <v>60</v>
      </c>
      <c r="B17" s="5">
        <v>5079971</v>
      </c>
      <c r="C17" s="12">
        <v>8</v>
      </c>
      <c r="D17" s="5">
        <v>634996</v>
      </c>
      <c r="E17" s="12">
        <v>194</v>
      </c>
      <c r="F17" s="12">
        <v>848</v>
      </c>
      <c r="G17" s="12">
        <v>7</v>
      </c>
      <c r="H17" s="9">
        <v>39.1</v>
      </c>
      <c r="I17" s="4" t="s">
        <v>314</v>
      </c>
      <c r="J17" s="5">
        <v>726000</v>
      </c>
      <c r="L17">
        <v>194</v>
      </c>
      <c r="N17">
        <v>5079971</v>
      </c>
    </row>
    <row r="18" spans="1:15" hidden="1" x14ac:dyDescent="0.25">
      <c r="A18" s="4" t="s">
        <v>169</v>
      </c>
      <c r="B18" s="5">
        <v>4956847</v>
      </c>
      <c r="C18" s="12">
        <v>8</v>
      </c>
      <c r="D18" s="5">
        <v>619606</v>
      </c>
      <c r="E18" s="12">
        <v>167</v>
      </c>
      <c r="F18" s="12">
        <v>912</v>
      </c>
      <c r="G18" s="12">
        <v>7</v>
      </c>
      <c r="H18" s="9">
        <v>37.4</v>
      </c>
      <c r="I18" s="4" t="s">
        <v>314</v>
      </c>
      <c r="J18" s="5">
        <v>708000</v>
      </c>
      <c r="L18">
        <v>167</v>
      </c>
      <c r="N18">
        <v>4956847</v>
      </c>
    </row>
    <row r="19" spans="1:15" x14ac:dyDescent="0.25">
      <c r="A19" s="4" t="s">
        <v>153</v>
      </c>
      <c r="B19" s="5">
        <v>4715780</v>
      </c>
      <c r="C19" s="12">
        <v>3</v>
      </c>
      <c r="D19" s="5">
        <v>1571927</v>
      </c>
      <c r="E19" s="12">
        <v>1175</v>
      </c>
      <c r="F19" s="12">
        <v>187</v>
      </c>
      <c r="G19" s="12">
        <v>3</v>
      </c>
      <c r="H19" s="9">
        <v>81.2</v>
      </c>
      <c r="I19" s="4" t="s">
        <v>315</v>
      </c>
      <c r="J19" s="5">
        <v>629000</v>
      </c>
      <c r="L19">
        <v>1175</v>
      </c>
      <c r="O19">
        <v>4715780</v>
      </c>
    </row>
    <row r="20" spans="1:15" hidden="1" x14ac:dyDescent="0.25">
      <c r="A20" s="4" t="s">
        <v>41</v>
      </c>
      <c r="B20" s="5">
        <v>4340633</v>
      </c>
      <c r="C20" s="12">
        <v>8</v>
      </c>
      <c r="D20" s="5">
        <v>542579</v>
      </c>
      <c r="E20" s="12">
        <v>470</v>
      </c>
      <c r="F20" s="12">
        <v>729</v>
      </c>
      <c r="G20" s="12">
        <v>6</v>
      </c>
      <c r="H20" s="9">
        <v>45.3</v>
      </c>
      <c r="I20" s="4" t="s">
        <v>314</v>
      </c>
      <c r="J20" s="5">
        <v>723000</v>
      </c>
      <c r="L20">
        <v>470</v>
      </c>
      <c r="N20">
        <v>4340633</v>
      </c>
    </row>
    <row r="21" spans="1:15" hidden="1" x14ac:dyDescent="0.25">
      <c r="A21" s="4" t="s">
        <v>210</v>
      </c>
      <c r="B21" s="5">
        <v>4280216</v>
      </c>
      <c r="C21" s="12">
        <v>3</v>
      </c>
      <c r="D21" s="5">
        <v>1426739</v>
      </c>
      <c r="E21" s="12">
        <v>307</v>
      </c>
      <c r="F21" s="12">
        <v>98</v>
      </c>
      <c r="G21" s="12">
        <v>2</v>
      </c>
      <c r="H21" s="9">
        <v>52.6</v>
      </c>
      <c r="I21" s="4" t="s">
        <v>314</v>
      </c>
      <c r="J21" s="5">
        <v>2140000</v>
      </c>
      <c r="L21">
        <v>307</v>
      </c>
      <c r="N21">
        <v>4280216</v>
      </c>
    </row>
    <row r="22" spans="1:15" x14ac:dyDescent="0.25">
      <c r="A22" s="4" t="s">
        <v>157</v>
      </c>
      <c r="B22" s="5">
        <v>4000000</v>
      </c>
      <c r="C22" s="12">
        <v>1</v>
      </c>
      <c r="D22" s="5">
        <v>4000000</v>
      </c>
      <c r="E22" s="12">
        <v>1322</v>
      </c>
      <c r="F22" s="12">
        <v>1</v>
      </c>
      <c r="G22" s="12">
        <v>1</v>
      </c>
      <c r="H22" s="9">
        <v>100</v>
      </c>
      <c r="I22" s="4" t="s">
        <v>315</v>
      </c>
      <c r="J22" s="5">
        <v>1600000</v>
      </c>
      <c r="L22">
        <v>1322</v>
      </c>
      <c r="O22">
        <v>4000000</v>
      </c>
    </row>
    <row r="23" spans="1:15" hidden="1" x14ac:dyDescent="0.25">
      <c r="A23" s="4" t="s">
        <v>114</v>
      </c>
      <c r="B23" s="5">
        <v>3890169</v>
      </c>
      <c r="C23" s="12">
        <v>10</v>
      </c>
      <c r="D23" s="5">
        <v>389017</v>
      </c>
      <c r="E23" s="12">
        <v>25</v>
      </c>
      <c r="F23" s="12">
        <v>368</v>
      </c>
      <c r="G23" s="12">
        <v>8</v>
      </c>
      <c r="H23" s="9">
        <v>39.1</v>
      </c>
      <c r="I23" s="4" t="s">
        <v>314</v>
      </c>
      <c r="J23" s="5">
        <v>486000</v>
      </c>
      <c r="L23">
        <v>25</v>
      </c>
      <c r="N23">
        <v>3890169</v>
      </c>
    </row>
    <row r="24" spans="1:15" x14ac:dyDescent="0.25">
      <c r="A24" s="4" t="s">
        <v>65</v>
      </c>
      <c r="B24" s="5">
        <v>3765149</v>
      </c>
      <c r="C24" s="12">
        <v>7</v>
      </c>
      <c r="D24" s="5">
        <v>537878</v>
      </c>
      <c r="E24" s="12">
        <v>987</v>
      </c>
      <c r="F24" s="12">
        <v>346</v>
      </c>
      <c r="G24" s="12">
        <v>6</v>
      </c>
      <c r="H24" s="9">
        <v>66.599999999999994</v>
      </c>
      <c r="I24" s="4" t="s">
        <v>315</v>
      </c>
      <c r="J24" s="5">
        <v>251000</v>
      </c>
      <c r="L24">
        <v>987</v>
      </c>
      <c r="O24">
        <v>3765149</v>
      </c>
    </row>
    <row r="25" spans="1:15" hidden="1" x14ac:dyDescent="0.25">
      <c r="A25" s="4" t="s">
        <v>123</v>
      </c>
      <c r="B25" s="5">
        <v>3723680</v>
      </c>
      <c r="C25" s="12">
        <v>4</v>
      </c>
      <c r="D25" s="5">
        <v>930920</v>
      </c>
      <c r="E25" s="12">
        <v>20</v>
      </c>
      <c r="F25" s="12">
        <v>309</v>
      </c>
      <c r="G25" s="12">
        <v>4</v>
      </c>
      <c r="H25" s="9">
        <v>45.6</v>
      </c>
      <c r="I25" s="4" t="s">
        <v>314</v>
      </c>
      <c r="J25" s="5">
        <v>931000</v>
      </c>
      <c r="L25">
        <v>20</v>
      </c>
      <c r="N25">
        <v>3723680</v>
      </c>
    </row>
    <row r="26" spans="1:15" hidden="1" x14ac:dyDescent="0.25">
      <c r="A26" s="4" t="s">
        <v>140</v>
      </c>
      <c r="B26" s="5">
        <v>3682004</v>
      </c>
      <c r="C26" s="12">
        <v>8</v>
      </c>
      <c r="D26" s="5">
        <v>460250</v>
      </c>
      <c r="E26" s="12">
        <v>90</v>
      </c>
      <c r="F26" s="12">
        <v>72</v>
      </c>
      <c r="G26" s="12">
        <v>3</v>
      </c>
      <c r="H26" s="9">
        <v>27.8</v>
      </c>
      <c r="I26" s="4" t="s">
        <v>313</v>
      </c>
      <c r="J26" s="5">
        <v>2455000</v>
      </c>
      <c r="L26">
        <v>90</v>
      </c>
      <c r="M26">
        <v>3682004</v>
      </c>
    </row>
    <row r="27" spans="1:15" hidden="1" x14ac:dyDescent="0.25">
      <c r="A27" s="4" t="s">
        <v>55</v>
      </c>
      <c r="B27" s="5">
        <v>3399278</v>
      </c>
      <c r="C27" s="12">
        <v>5</v>
      </c>
      <c r="D27" s="5">
        <v>679856</v>
      </c>
      <c r="E27" s="12">
        <v>643</v>
      </c>
      <c r="F27" s="12">
        <v>625</v>
      </c>
      <c r="G27" s="12">
        <v>5</v>
      </c>
      <c r="H27" s="9">
        <v>56.2</v>
      </c>
      <c r="I27" s="4" t="s">
        <v>314</v>
      </c>
      <c r="J27" s="5">
        <v>680000</v>
      </c>
      <c r="L27">
        <v>643</v>
      </c>
      <c r="N27">
        <v>3399278</v>
      </c>
    </row>
    <row r="28" spans="1:15" hidden="1" x14ac:dyDescent="0.25">
      <c r="A28" s="4" t="s">
        <v>99</v>
      </c>
      <c r="B28" s="5">
        <v>3308138</v>
      </c>
      <c r="C28" s="12">
        <v>5</v>
      </c>
      <c r="D28" s="5">
        <v>661628</v>
      </c>
      <c r="E28" s="12">
        <v>61</v>
      </c>
      <c r="F28" s="12">
        <v>462</v>
      </c>
      <c r="G28" s="12">
        <v>4</v>
      </c>
      <c r="H28" s="9">
        <v>40</v>
      </c>
      <c r="I28" s="4" t="s">
        <v>314</v>
      </c>
      <c r="J28" s="5">
        <v>827000</v>
      </c>
      <c r="L28">
        <v>61</v>
      </c>
      <c r="N28">
        <v>3308138</v>
      </c>
    </row>
    <row r="29" spans="1:15" hidden="1" x14ac:dyDescent="0.25">
      <c r="A29" s="4" t="s">
        <v>78</v>
      </c>
      <c r="B29" s="5">
        <v>3019911</v>
      </c>
      <c r="C29" s="12">
        <v>4</v>
      </c>
      <c r="D29" s="5">
        <v>754978</v>
      </c>
      <c r="E29" s="12">
        <v>525</v>
      </c>
      <c r="F29" s="12">
        <v>573</v>
      </c>
      <c r="G29" s="12">
        <v>4</v>
      </c>
      <c r="H29" s="9">
        <v>54.3</v>
      </c>
      <c r="I29" s="4" t="s">
        <v>314</v>
      </c>
      <c r="J29" s="5">
        <v>755000</v>
      </c>
      <c r="L29">
        <v>525</v>
      </c>
      <c r="N29">
        <v>3019911</v>
      </c>
    </row>
    <row r="30" spans="1:15" hidden="1" x14ac:dyDescent="0.25">
      <c r="A30" s="4" t="s">
        <v>66</v>
      </c>
      <c r="B30" s="5">
        <v>2989434</v>
      </c>
      <c r="C30" s="12">
        <v>5</v>
      </c>
      <c r="D30" s="5">
        <v>597887</v>
      </c>
      <c r="E30" s="12">
        <v>358</v>
      </c>
      <c r="F30" s="12">
        <v>841</v>
      </c>
      <c r="G30" s="12">
        <v>5</v>
      </c>
      <c r="H30" s="9">
        <v>45.1</v>
      </c>
      <c r="I30" s="4" t="s">
        <v>314</v>
      </c>
      <c r="J30" s="5">
        <v>598000</v>
      </c>
      <c r="L30">
        <v>358</v>
      </c>
      <c r="N30">
        <v>2989434</v>
      </c>
    </row>
    <row r="31" spans="1:15" hidden="1" x14ac:dyDescent="0.25">
      <c r="A31" s="4" t="s">
        <v>198</v>
      </c>
      <c r="B31" s="5">
        <v>2791234</v>
      </c>
      <c r="C31" s="12">
        <v>6</v>
      </c>
      <c r="D31" s="5">
        <v>465206</v>
      </c>
      <c r="E31" s="12">
        <v>406</v>
      </c>
      <c r="F31" s="12">
        <v>139</v>
      </c>
      <c r="G31" s="12">
        <v>5</v>
      </c>
      <c r="H31" s="9">
        <v>53.5</v>
      </c>
      <c r="I31" s="4" t="s">
        <v>314</v>
      </c>
      <c r="J31" s="5">
        <v>558000</v>
      </c>
      <c r="L31">
        <v>406</v>
      </c>
      <c r="N31">
        <v>2791234</v>
      </c>
    </row>
    <row r="32" spans="1:15" x14ac:dyDescent="0.25">
      <c r="A32" s="4" t="s">
        <v>33</v>
      </c>
      <c r="B32" s="5">
        <v>2746502</v>
      </c>
      <c r="C32" s="12">
        <v>4</v>
      </c>
      <c r="D32" s="5">
        <v>686626</v>
      </c>
      <c r="E32" s="12">
        <v>937</v>
      </c>
      <c r="F32" s="12">
        <v>421</v>
      </c>
      <c r="G32" s="12">
        <v>4</v>
      </c>
      <c r="H32" s="9">
        <v>67.099999999999994</v>
      </c>
      <c r="I32" s="4" t="s">
        <v>315</v>
      </c>
      <c r="J32" s="5">
        <v>275000</v>
      </c>
      <c r="L32">
        <v>937</v>
      </c>
      <c r="O32">
        <v>2746502</v>
      </c>
    </row>
    <row r="33" spans="1:15" hidden="1" x14ac:dyDescent="0.25">
      <c r="A33" s="4" t="s">
        <v>83</v>
      </c>
      <c r="B33" s="5">
        <v>2571234</v>
      </c>
      <c r="C33" s="12">
        <v>9</v>
      </c>
      <c r="D33" s="5">
        <v>285693</v>
      </c>
      <c r="E33" s="12">
        <v>712</v>
      </c>
      <c r="F33" s="12">
        <v>210</v>
      </c>
      <c r="G33" s="12">
        <v>7</v>
      </c>
      <c r="H33" s="9">
        <v>58.6</v>
      </c>
      <c r="I33" s="4" t="s">
        <v>314</v>
      </c>
      <c r="J33" s="5">
        <v>367000</v>
      </c>
      <c r="L33">
        <v>712</v>
      </c>
      <c r="N33">
        <v>2571234</v>
      </c>
    </row>
    <row r="34" spans="1:15" x14ac:dyDescent="0.25">
      <c r="A34" s="4" t="s">
        <v>115</v>
      </c>
      <c r="B34" s="5">
        <v>2506250</v>
      </c>
      <c r="C34" s="12">
        <v>1</v>
      </c>
      <c r="D34" s="5">
        <v>2506250</v>
      </c>
      <c r="E34" s="12">
        <v>545</v>
      </c>
      <c r="F34" s="12">
        <v>1</v>
      </c>
      <c r="G34" s="12">
        <v>1</v>
      </c>
      <c r="H34" s="9">
        <v>71.900000000000006</v>
      </c>
      <c r="I34" s="4" t="s">
        <v>315</v>
      </c>
      <c r="J34" s="5">
        <v>1002000</v>
      </c>
      <c r="L34">
        <v>545</v>
      </c>
      <c r="O34">
        <v>2506250</v>
      </c>
    </row>
    <row r="35" spans="1:15" hidden="1" x14ac:dyDescent="0.25">
      <c r="A35" s="4" t="s">
        <v>73</v>
      </c>
      <c r="B35" s="5">
        <v>2321650</v>
      </c>
      <c r="C35" s="12">
        <v>10</v>
      </c>
      <c r="D35" s="5">
        <v>232165</v>
      </c>
      <c r="E35" s="12">
        <v>333</v>
      </c>
      <c r="F35" s="12">
        <v>592</v>
      </c>
      <c r="G35" s="12">
        <v>9</v>
      </c>
      <c r="H35" s="9">
        <v>44.9</v>
      </c>
      <c r="I35" s="4" t="s">
        <v>314</v>
      </c>
      <c r="J35" s="5">
        <v>258000</v>
      </c>
      <c r="L35">
        <v>333</v>
      </c>
      <c r="N35">
        <v>2321650</v>
      </c>
    </row>
    <row r="36" spans="1:15" x14ac:dyDescent="0.25">
      <c r="A36" s="4" t="s">
        <v>154</v>
      </c>
      <c r="B36" s="5">
        <v>2298920</v>
      </c>
      <c r="C36" s="12">
        <v>3</v>
      </c>
      <c r="D36" s="5">
        <v>766307</v>
      </c>
      <c r="E36" s="12">
        <v>1171</v>
      </c>
      <c r="F36" s="12">
        <v>191</v>
      </c>
      <c r="G36" s="12">
        <v>3</v>
      </c>
      <c r="H36" s="9">
        <v>77</v>
      </c>
      <c r="I36" s="4" t="s">
        <v>315</v>
      </c>
      <c r="J36" s="5">
        <v>307000</v>
      </c>
      <c r="L36">
        <v>1171</v>
      </c>
      <c r="O36">
        <v>2298920</v>
      </c>
    </row>
    <row r="37" spans="1:15" x14ac:dyDescent="0.25">
      <c r="A37" s="4" t="s">
        <v>155</v>
      </c>
      <c r="B37" s="5">
        <v>2260040</v>
      </c>
      <c r="C37" s="12">
        <v>5</v>
      </c>
      <c r="D37" s="5">
        <v>452008</v>
      </c>
      <c r="E37" s="12">
        <v>1051</v>
      </c>
      <c r="F37" s="12">
        <v>311</v>
      </c>
      <c r="G37" s="12">
        <v>5</v>
      </c>
      <c r="H37" s="9">
        <v>70.5</v>
      </c>
      <c r="I37" s="4" t="s">
        <v>315</v>
      </c>
      <c r="J37" s="5">
        <v>181000</v>
      </c>
      <c r="L37">
        <v>1051</v>
      </c>
      <c r="O37">
        <v>2260040</v>
      </c>
    </row>
    <row r="38" spans="1:15" hidden="1" x14ac:dyDescent="0.25">
      <c r="A38" s="4" t="s">
        <v>217</v>
      </c>
      <c r="B38" s="5">
        <v>2220017</v>
      </c>
      <c r="C38" s="12">
        <v>1</v>
      </c>
      <c r="D38" s="5">
        <v>2220017</v>
      </c>
      <c r="E38" s="12">
        <v>322</v>
      </c>
      <c r="F38" s="12">
        <v>1</v>
      </c>
      <c r="G38" s="12">
        <v>1</v>
      </c>
      <c r="H38" s="9">
        <v>64.599999999999994</v>
      </c>
      <c r="I38" s="4" t="s">
        <v>314</v>
      </c>
      <c r="J38" s="5">
        <v>2220000</v>
      </c>
      <c r="L38">
        <v>322</v>
      </c>
      <c r="N38">
        <v>2220017</v>
      </c>
    </row>
    <row r="39" spans="1:15" hidden="1" x14ac:dyDescent="0.25">
      <c r="A39" s="4" t="s">
        <v>166</v>
      </c>
      <c r="B39" s="5">
        <v>2095254</v>
      </c>
      <c r="C39" s="12">
        <v>4</v>
      </c>
      <c r="D39" s="5">
        <v>523814</v>
      </c>
      <c r="E39" s="12">
        <v>375</v>
      </c>
      <c r="F39" s="12">
        <v>741</v>
      </c>
      <c r="G39" s="12">
        <v>4</v>
      </c>
      <c r="H39" s="9">
        <v>46.7</v>
      </c>
      <c r="I39" s="4" t="s">
        <v>314</v>
      </c>
      <c r="J39" s="5">
        <v>524000</v>
      </c>
      <c r="L39">
        <v>375</v>
      </c>
      <c r="N39">
        <v>2095254</v>
      </c>
    </row>
    <row r="40" spans="1:15" hidden="1" x14ac:dyDescent="0.25">
      <c r="A40" s="4" t="s">
        <v>88</v>
      </c>
      <c r="B40" s="5">
        <v>2042548</v>
      </c>
      <c r="C40" s="12">
        <v>10</v>
      </c>
      <c r="D40" s="5">
        <v>204255</v>
      </c>
      <c r="E40" s="12">
        <v>500</v>
      </c>
      <c r="F40" s="12">
        <v>261</v>
      </c>
      <c r="G40" s="12">
        <v>6</v>
      </c>
      <c r="H40" s="9">
        <v>47.1</v>
      </c>
      <c r="I40" s="4" t="s">
        <v>314</v>
      </c>
      <c r="J40" s="5">
        <v>340000</v>
      </c>
      <c r="L40">
        <v>500</v>
      </c>
      <c r="N40">
        <v>2042548</v>
      </c>
    </row>
    <row r="41" spans="1:15" hidden="1" x14ac:dyDescent="0.25">
      <c r="A41" s="4" t="s">
        <v>26</v>
      </c>
      <c r="B41" s="5">
        <v>2040553</v>
      </c>
      <c r="C41" s="12">
        <v>9</v>
      </c>
      <c r="D41" s="5">
        <v>226728</v>
      </c>
      <c r="E41" s="12">
        <v>1062</v>
      </c>
      <c r="F41" s="12">
        <v>330</v>
      </c>
      <c r="G41" s="12">
        <v>7</v>
      </c>
      <c r="H41" s="9">
        <v>65.8</v>
      </c>
      <c r="I41" s="4" t="s">
        <v>314</v>
      </c>
      <c r="J41" s="5">
        <v>292000</v>
      </c>
      <c r="L41">
        <v>1062</v>
      </c>
      <c r="N41">
        <v>2040553</v>
      </c>
    </row>
    <row r="42" spans="1:15" hidden="1" x14ac:dyDescent="0.25">
      <c r="A42" s="4" t="s">
        <v>91</v>
      </c>
      <c r="B42" s="5">
        <v>1904721</v>
      </c>
      <c r="C42" s="12">
        <v>2</v>
      </c>
      <c r="D42" s="5">
        <v>952360</v>
      </c>
      <c r="E42" s="12">
        <v>238</v>
      </c>
      <c r="F42" s="12">
        <v>239</v>
      </c>
      <c r="G42" s="12">
        <v>2</v>
      </c>
      <c r="H42" s="9">
        <v>52.5</v>
      </c>
      <c r="I42" s="4" t="s">
        <v>314</v>
      </c>
      <c r="J42" s="5">
        <v>952000</v>
      </c>
      <c r="L42">
        <v>238</v>
      </c>
      <c r="N42">
        <v>1904721</v>
      </c>
    </row>
    <row r="43" spans="1:15" hidden="1" x14ac:dyDescent="0.25">
      <c r="A43" s="4" t="s">
        <v>176</v>
      </c>
      <c r="B43" s="5">
        <v>1898358</v>
      </c>
      <c r="C43" s="12">
        <v>4</v>
      </c>
      <c r="D43" s="5">
        <v>474589</v>
      </c>
      <c r="E43" s="12">
        <v>643</v>
      </c>
      <c r="F43" s="12">
        <v>315</v>
      </c>
      <c r="G43" s="12">
        <v>4</v>
      </c>
      <c r="H43" s="9">
        <v>59.8</v>
      </c>
      <c r="I43" s="4" t="s">
        <v>314</v>
      </c>
      <c r="J43" s="5">
        <v>475000</v>
      </c>
      <c r="L43">
        <v>643</v>
      </c>
      <c r="N43">
        <v>1898358</v>
      </c>
    </row>
    <row r="44" spans="1:15" hidden="1" x14ac:dyDescent="0.25">
      <c r="A44" s="4" t="s">
        <v>80</v>
      </c>
      <c r="B44" s="5">
        <v>1897791</v>
      </c>
      <c r="C44" s="12">
        <v>4</v>
      </c>
      <c r="D44" s="5">
        <v>474448</v>
      </c>
      <c r="E44" s="12">
        <v>454</v>
      </c>
      <c r="F44" s="12">
        <v>458</v>
      </c>
      <c r="G44" s="12">
        <v>4</v>
      </c>
      <c r="H44" s="9">
        <v>52.7</v>
      </c>
      <c r="I44" s="4" t="s">
        <v>314</v>
      </c>
      <c r="J44" s="5">
        <v>474000</v>
      </c>
      <c r="L44">
        <v>454</v>
      </c>
      <c r="N44">
        <v>1897791</v>
      </c>
    </row>
    <row r="45" spans="1:15" hidden="1" x14ac:dyDescent="0.25">
      <c r="A45" s="4" t="s">
        <v>193</v>
      </c>
      <c r="B45" s="5">
        <v>1810714</v>
      </c>
      <c r="C45" s="12">
        <v>3</v>
      </c>
      <c r="D45" s="5">
        <v>603571</v>
      </c>
      <c r="E45" s="12">
        <v>743</v>
      </c>
      <c r="F45" s="12">
        <v>49</v>
      </c>
      <c r="G45" s="12">
        <v>2</v>
      </c>
      <c r="H45" s="9">
        <v>60.7</v>
      </c>
      <c r="I45" s="4" t="s">
        <v>314</v>
      </c>
      <c r="J45" s="5">
        <v>905000</v>
      </c>
      <c r="L45">
        <v>743</v>
      </c>
      <c r="N45">
        <v>1810714</v>
      </c>
    </row>
    <row r="46" spans="1:15" hidden="1" x14ac:dyDescent="0.25">
      <c r="A46" s="4" t="s">
        <v>104</v>
      </c>
      <c r="B46" s="5">
        <v>1803333</v>
      </c>
      <c r="C46" s="12">
        <v>3</v>
      </c>
      <c r="D46" s="5">
        <v>601111</v>
      </c>
      <c r="E46" s="12">
        <v>120</v>
      </c>
      <c r="F46" s="12">
        <v>315</v>
      </c>
      <c r="G46" s="12">
        <v>3</v>
      </c>
      <c r="H46" s="9">
        <v>46.5</v>
      </c>
      <c r="I46" s="4" t="s">
        <v>314</v>
      </c>
      <c r="J46" s="5">
        <v>601000</v>
      </c>
      <c r="L46">
        <v>120</v>
      </c>
      <c r="N46">
        <v>1803333</v>
      </c>
    </row>
    <row r="47" spans="1:15" hidden="1" x14ac:dyDescent="0.25">
      <c r="A47" s="4" t="s">
        <v>190</v>
      </c>
      <c r="B47" s="5">
        <v>1782339</v>
      </c>
      <c r="C47" s="12">
        <v>8</v>
      </c>
      <c r="D47" s="5">
        <v>222792</v>
      </c>
      <c r="E47" s="12">
        <v>159</v>
      </c>
      <c r="F47" s="12">
        <v>646</v>
      </c>
      <c r="G47" s="12">
        <v>5</v>
      </c>
      <c r="H47" s="9">
        <v>33.299999999999997</v>
      </c>
      <c r="I47" s="4" t="s">
        <v>314</v>
      </c>
      <c r="J47" s="5">
        <v>356000</v>
      </c>
      <c r="L47">
        <v>159</v>
      </c>
      <c r="N47">
        <v>1782339</v>
      </c>
    </row>
    <row r="48" spans="1:15" x14ac:dyDescent="0.25">
      <c r="A48" s="4" t="s">
        <v>34</v>
      </c>
      <c r="B48" s="5">
        <v>1771500</v>
      </c>
      <c r="C48" s="12">
        <v>1</v>
      </c>
      <c r="D48" s="5">
        <v>1771500</v>
      </c>
      <c r="E48" s="12">
        <v>1321</v>
      </c>
      <c r="F48" s="12">
        <v>1</v>
      </c>
      <c r="G48" s="12">
        <v>1</v>
      </c>
      <c r="H48" s="9">
        <v>88.8</v>
      </c>
      <c r="I48" s="4" t="s">
        <v>315</v>
      </c>
      <c r="J48" s="5">
        <v>709000</v>
      </c>
      <c r="L48">
        <v>1321</v>
      </c>
      <c r="O48">
        <v>1771500</v>
      </c>
    </row>
    <row r="49" spans="1:15" hidden="1" x14ac:dyDescent="0.25">
      <c r="A49" s="4" t="s">
        <v>216</v>
      </c>
      <c r="B49" s="5">
        <v>1668600</v>
      </c>
      <c r="C49" s="12">
        <v>1</v>
      </c>
      <c r="D49" s="5">
        <v>1668600</v>
      </c>
      <c r="E49" s="12">
        <v>196</v>
      </c>
      <c r="F49" s="12">
        <v>1</v>
      </c>
      <c r="G49" s="12">
        <v>1</v>
      </c>
      <c r="H49" s="9">
        <v>58.5</v>
      </c>
      <c r="I49" s="4" t="s">
        <v>314</v>
      </c>
      <c r="J49" s="5">
        <v>1669000</v>
      </c>
      <c r="L49">
        <v>196</v>
      </c>
      <c r="N49">
        <v>1668600</v>
      </c>
    </row>
    <row r="50" spans="1:15" x14ac:dyDescent="0.25">
      <c r="A50" s="4" t="s">
        <v>32</v>
      </c>
      <c r="B50" s="5">
        <v>1620184</v>
      </c>
      <c r="C50" s="12">
        <v>3</v>
      </c>
      <c r="D50" s="5">
        <v>540061</v>
      </c>
      <c r="E50" s="12">
        <v>1051</v>
      </c>
      <c r="F50" s="12">
        <v>314</v>
      </c>
      <c r="G50" s="12">
        <v>3</v>
      </c>
      <c r="H50" s="9">
        <v>70.900000000000006</v>
      </c>
      <c r="I50" s="4" t="s">
        <v>315</v>
      </c>
      <c r="J50" s="5">
        <v>216000</v>
      </c>
      <c r="L50">
        <v>1051</v>
      </c>
      <c r="O50">
        <v>1620184</v>
      </c>
    </row>
    <row r="51" spans="1:15" hidden="1" x14ac:dyDescent="0.25">
      <c r="A51" s="4" t="s">
        <v>147</v>
      </c>
      <c r="B51" s="5">
        <v>1598143</v>
      </c>
      <c r="C51" s="12">
        <v>3</v>
      </c>
      <c r="D51" s="5">
        <v>532714</v>
      </c>
      <c r="E51" s="12">
        <v>0</v>
      </c>
      <c r="F51" s="12">
        <v>22</v>
      </c>
      <c r="G51" s="12">
        <v>2</v>
      </c>
      <c r="H51" s="9">
        <v>41.1</v>
      </c>
      <c r="I51" s="4" t="s">
        <v>314</v>
      </c>
      <c r="J51" s="5">
        <v>799000</v>
      </c>
      <c r="L51">
        <v>0</v>
      </c>
      <c r="N51">
        <v>1598143</v>
      </c>
    </row>
    <row r="52" spans="1:15" hidden="1" x14ac:dyDescent="0.25">
      <c r="A52" s="4" t="s">
        <v>97</v>
      </c>
      <c r="B52" s="5">
        <v>1585611</v>
      </c>
      <c r="C52" s="12">
        <v>8</v>
      </c>
      <c r="D52" s="5">
        <v>198201</v>
      </c>
      <c r="E52" s="12">
        <v>57</v>
      </c>
      <c r="F52" s="12">
        <v>521</v>
      </c>
      <c r="G52" s="12">
        <v>7</v>
      </c>
      <c r="H52" s="9">
        <v>38.1</v>
      </c>
      <c r="I52" s="4" t="s">
        <v>314</v>
      </c>
      <c r="J52" s="5">
        <v>227000</v>
      </c>
      <c r="L52">
        <v>57</v>
      </c>
      <c r="N52">
        <v>1585611</v>
      </c>
    </row>
    <row r="53" spans="1:15" hidden="1" x14ac:dyDescent="0.25">
      <c r="A53" s="4" t="s">
        <v>197</v>
      </c>
      <c r="B53" s="5">
        <v>1538338</v>
      </c>
      <c r="C53" s="12">
        <v>5</v>
      </c>
      <c r="D53" s="5">
        <v>307668</v>
      </c>
      <c r="E53" s="12">
        <v>470</v>
      </c>
      <c r="F53" s="12">
        <v>242</v>
      </c>
      <c r="G53" s="12">
        <v>5</v>
      </c>
      <c r="H53" s="9">
        <v>55.4</v>
      </c>
      <c r="I53" s="4" t="s">
        <v>314</v>
      </c>
      <c r="J53" s="5">
        <v>308000</v>
      </c>
      <c r="L53">
        <v>470</v>
      </c>
      <c r="N53">
        <v>1538338</v>
      </c>
    </row>
    <row r="54" spans="1:15" hidden="1" x14ac:dyDescent="0.25">
      <c r="A54" s="4" t="s">
        <v>111</v>
      </c>
      <c r="B54" s="5">
        <v>1474368</v>
      </c>
      <c r="C54" s="12">
        <v>3</v>
      </c>
      <c r="D54" s="5">
        <v>491456</v>
      </c>
      <c r="E54" s="12">
        <v>390</v>
      </c>
      <c r="F54" s="12">
        <v>10</v>
      </c>
      <c r="G54" s="12">
        <v>1</v>
      </c>
      <c r="H54" s="9">
        <v>32.6</v>
      </c>
      <c r="I54" s="4" t="s">
        <v>313</v>
      </c>
      <c r="J54" s="5">
        <v>2949000</v>
      </c>
      <c r="L54">
        <v>390</v>
      </c>
      <c r="M54">
        <v>1474368</v>
      </c>
    </row>
    <row r="55" spans="1:15" x14ac:dyDescent="0.25">
      <c r="A55" s="4" t="s">
        <v>36</v>
      </c>
      <c r="B55" s="5">
        <v>1433430</v>
      </c>
      <c r="C55" s="12">
        <v>2</v>
      </c>
      <c r="D55" s="5">
        <v>716715</v>
      </c>
      <c r="E55" s="12">
        <v>1229</v>
      </c>
      <c r="F55" s="12">
        <v>100</v>
      </c>
      <c r="G55" s="12">
        <v>2</v>
      </c>
      <c r="H55" s="9">
        <v>79.599999999999994</v>
      </c>
      <c r="I55" s="4" t="s">
        <v>315</v>
      </c>
      <c r="J55" s="5">
        <v>287000</v>
      </c>
      <c r="L55">
        <v>1229</v>
      </c>
      <c r="O55">
        <v>1433430</v>
      </c>
    </row>
    <row r="56" spans="1:15" hidden="1" x14ac:dyDescent="0.25">
      <c r="A56" s="4" t="s">
        <v>175</v>
      </c>
      <c r="B56" s="5">
        <v>1432248</v>
      </c>
      <c r="C56" s="12">
        <v>2</v>
      </c>
      <c r="D56" s="5">
        <v>716124</v>
      </c>
      <c r="E56" s="12">
        <v>628</v>
      </c>
      <c r="F56" s="12">
        <v>330</v>
      </c>
      <c r="G56" s="12">
        <v>2</v>
      </c>
      <c r="H56" s="9">
        <v>60.4</v>
      </c>
      <c r="I56" s="4" t="s">
        <v>314</v>
      </c>
      <c r="J56" s="5">
        <v>716000</v>
      </c>
      <c r="L56">
        <v>628</v>
      </c>
      <c r="N56">
        <v>1432248</v>
      </c>
    </row>
    <row r="57" spans="1:15" hidden="1" x14ac:dyDescent="0.25">
      <c r="A57" s="4" t="s">
        <v>51</v>
      </c>
      <c r="B57" s="5">
        <v>1426584</v>
      </c>
      <c r="C57" s="12">
        <v>5</v>
      </c>
      <c r="D57" s="5">
        <v>285317</v>
      </c>
      <c r="E57" s="12">
        <v>966</v>
      </c>
      <c r="F57" s="12">
        <v>205</v>
      </c>
      <c r="G57" s="12">
        <v>4</v>
      </c>
      <c r="H57" s="9">
        <v>65.8</v>
      </c>
      <c r="I57" s="4" t="s">
        <v>314</v>
      </c>
      <c r="J57" s="5">
        <v>357000</v>
      </c>
      <c r="L57">
        <v>966</v>
      </c>
      <c r="N57">
        <v>1426584</v>
      </c>
    </row>
    <row r="58" spans="1:15" hidden="1" x14ac:dyDescent="0.25">
      <c r="A58" s="4" t="s">
        <v>113</v>
      </c>
      <c r="B58" s="5">
        <v>1169500</v>
      </c>
      <c r="C58" s="12">
        <v>1</v>
      </c>
      <c r="D58" s="5">
        <v>1169500</v>
      </c>
      <c r="E58" s="12">
        <v>187</v>
      </c>
      <c r="F58" s="12">
        <v>1</v>
      </c>
      <c r="G58" s="12">
        <v>1</v>
      </c>
      <c r="H58" s="9">
        <v>55.8</v>
      </c>
      <c r="I58" s="4" t="s">
        <v>314</v>
      </c>
      <c r="J58" s="5">
        <v>1170000</v>
      </c>
      <c r="L58">
        <v>187</v>
      </c>
      <c r="N58">
        <v>1169500</v>
      </c>
    </row>
    <row r="59" spans="1:15" hidden="1" x14ac:dyDescent="0.25">
      <c r="A59" s="4" t="s">
        <v>109</v>
      </c>
      <c r="B59" s="5">
        <v>1145707</v>
      </c>
      <c r="C59" s="12">
        <v>4</v>
      </c>
      <c r="D59" s="5">
        <v>286427</v>
      </c>
      <c r="E59" s="12">
        <v>300</v>
      </c>
      <c r="F59" s="12">
        <v>109</v>
      </c>
      <c r="G59" s="12">
        <v>3</v>
      </c>
      <c r="H59" s="9">
        <v>48.6</v>
      </c>
      <c r="I59" s="4" t="s">
        <v>314</v>
      </c>
      <c r="J59" s="5">
        <v>382000</v>
      </c>
      <c r="L59">
        <v>300</v>
      </c>
      <c r="N59">
        <v>1145707</v>
      </c>
    </row>
    <row r="60" spans="1:15" hidden="1" x14ac:dyDescent="0.25">
      <c r="A60" s="4" t="s">
        <v>206</v>
      </c>
      <c r="B60" s="5">
        <v>1112588</v>
      </c>
      <c r="C60" s="12">
        <v>3</v>
      </c>
      <c r="D60" s="5">
        <v>370863</v>
      </c>
      <c r="E60" s="12">
        <v>305</v>
      </c>
      <c r="F60" s="12">
        <v>213</v>
      </c>
      <c r="G60" s="12">
        <v>2</v>
      </c>
      <c r="H60" s="9">
        <v>45.5</v>
      </c>
      <c r="I60" s="4" t="s">
        <v>314</v>
      </c>
      <c r="J60" s="5">
        <v>556000</v>
      </c>
      <c r="L60">
        <v>305</v>
      </c>
      <c r="N60">
        <v>1112588</v>
      </c>
    </row>
    <row r="61" spans="1:15" x14ac:dyDescent="0.25">
      <c r="A61" s="4" t="s">
        <v>68</v>
      </c>
      <c r="B61" s="5">
        <v>1076096</v>
      </c>
      <c r="C61" s="12">
        <v>1</v>
      </c>
      <c r="D61" s="5">
        <v>1076096</v>
      </c>
      <c r="E61" s="12">
        <v>942</v>
      </c>
      <c r="F61" s="12">
        <v>1</v>
      </c>
      <c r="G61" s="12">
        <v>1</v>
      </c>
      <c r="H61" s="9">
        <v>75.3</v>
      </c>
      <c r="I61" s="4" t="s">
        <v>315</v>
      </c>
      <c r="J61" s="5">
        <v>430000</v>
      </c>
      <c r="L61">
        <v>942</v>
      </c>
      <c r="O61">
        <v>1076096</v>
      </c>
    </row>
    <row r="62" spans="1:15" hidden="1" x14ac:dyDescent="0.25">
      <c r="A62" s="4" t="s">
        <v>222</v>
      </c>
      <c r="B62" s="5">
        <v>1051905</v>
      </c>
      <c r="C62" s="12">
        <v>3</v>
      </c>
      <c r="D62" s="5">
        <v>350635</v>
      </c>
      <c r="E62" s="12">
        <v>102</v>
      </c>
      <c r="F62" s="12">
        <v>69</v>
      </c>
      <c r="G62" s="12">
        <v>3</v>
      </c>
      <c r="H62" s="9">
        <v>48.4</v>
      </c>
      <c r="I62" s="4" t="s">
        <v>314</v>
      </c>
      <c r="J62" s="5">
        <v>351000</v>
      </c>
      <c r="L62">
        <v>102</v>
      </c>
      <c r="N62">
        <v>1051905</v>
      </c>
    </row>
    <row r="63" spans="1:15" x14ac:dyDescent="0.25">
      <c r="A63" s="4" t="s">
        <v>42</v>
      </c>
      <c r="B63" s="5">
        <v>1010022</v>
      </c>
      <c r="C63" s="12">
        <v>3</v>
      </c>
      <c r="D63" s="5">
        <v>336674</v>
      </c>
      <c r="E63" s="12">
        <v>1048</v>
      </c>
      <c r="F63" s="12">
        <v>314</v>
      </c>
      <c r="G63" s="12">
        <v>3</v>
      </c>
      <c r="H63" s="9">
        <v>69.8</v>
      </c>
      <c r="I63" s="4" t="s">
        <v>315</v>
      </c>
      <c r="J63" s="5">
        <v>135000</v>
      </c>
      <c r="L63">
        <v>1048</v>
      </c>
      <c r="O63">
        <v>1010022</v>
      </c>
    </row>
    <row r="64" spans="1:15" hidden="1" x14ac:dyDescent="0.25">
      <c r="A64" s="4" t="s">
        <v>215</v>
      </c>
      <c r="B64" s="5">
        <v>968857</v>
      </c>
      <c r="C64" s="12">
        <v>2</v>
      </c>
      <c r="D64" s="5">
        <v>484428</v>
      </c>
      <c r="E64" s="12">
        <v>313</v>
      </c>
      <c r="F64" s="12">
        <v>48</v>
      </c>
      <c r="G64" s="12">
        <v>2</v>
      </c>
      <c r="H64" s="9">
        <v>55</v>
      </c>
      <c r="I64" s="4" t="s">
        <v>314</v>
      </c>
      <c r="J64" s="5">
        <v>484000</v>
      </c>
      <c r="L64">
        <v>313</v>
      </c>
      <c r="N64">
        <v>968857</v>
      </c>
    </row>
    <row r="65" spans="1:15" hidden="1" x14ac:dyDescent="0.25">
      <c r="A65" s="4" t="s">
        <v>122</v>
      </c>
      <c r="B65" s="5">
        <v>966715</v>
      </c>
      <c r="C65" s="12">
        <v>7</v>
      </c>
      <c r="D65" s="5">
        <v>138102</v>
      </c>
      <c r="E65" s="12">
        <v>64</v>
      </c>
      <c r="F65" s="12">
        <v>282</v>
      </c>
      <c r="G65" s="12">
        <v>7</v>
      </c>
      <c r="H65" s="9">
        <v>43.2</v>
      </c>
      <c r="I65" s="4" t="s">
        <v>314</v>
      </c>
      <c r="J65" s="5">
        <v>138000</v>
      </c>
      <c r="L65">
        <v>64</v>
      </c>
      <c r="N65">
        <v>966715</v>
      </c>
    </row>
    <row r="66" spans="1:15" hidden="1" x14ac:dyDescent="0.25">
      <c r="A66" s="4" t="s">
        <v>230</v>
      </c>
      <c r="B66" s="5">
        <v>952381</v>
      </c>
      <c r="C66" s="12">
        <v>1</v>
      </c>
      <c r="D66" s="5">
        <v>952381</v>
      </c>
      <c r="E66" s="12">
        <v>12</v>
      </c>
      <c r="F66" s="12">
        <v>1</v>
      </c>
      <c r="G66" s="12">
        <v>1</v>
      </c>
      <c r="H66" s="9">
        <v>50</v>
      </c>
      <c r="I66" s="4" t="s">
        <v>314</v>
      </c>
      <c r="J66" s="5">
        <v>952000</v>
      </c>
      <c r="L66">
        <v>12</v>
      </c>
      <c r="N66">
        <v>952381</v>
      </c>
    </row>
    <row r="67" spans="1:15" x14ac:dyDescent="0.25">
      <c r="A67" s="4" t="s">
        <v>180</v>
      </c>
      <c r="B67" s="5">
        <v>950000</v>
      </c>
      <c r="C67" s="12">
        <v>1</v>
      </c>
      <c r="D67" s="5">
        <v>950000</v>
      </c>
      <c r="E67" s="12">
        <v>896</v>
      </c>
      <c r="F67" s="12">
        <v>1</v>
      </c>
      <c r="G67" s="12">
        <v>1</v>
      </c>
      <c r="H67" s="9">
        <v>73.400000000000006</v>
      </c>
      <c r="I67" s="4" t="s">
        <v>315</v>
      </c>
      <c r="J67" s="5">
        <v>380000</v>
      </c>
      <c r="L67">
        <v>896</v>
      </c>
      <c r="O67">
        <v>950000</v>
      </c>
    </row>
    <row r="68" spans="1:15" hidden="1" x14ac:dyDescent="0.25">
      <c r="A68" s="4" t="s">
        <v>224</v>
      </c>
      <c r="B68" s="5">
        <v>905714</v>
      </c>
      <c r="C68" s="12">
        <v>1</v>
      </c>
      <c r="D68" s="5">
        <v>905714</v>
      </c>
      <c r="E68" s="12">
        <v>151</v>
      </c>
      <c r="F68" s="12">
        <v>1</v>
      </c>
      <c r="G68" s="12">
        <v>1</v>
      </c>
      <c r="H68" s="9">
        <v>53.5</v>
      </c>
      <c r="I68" s="4" t="s">
        <v>314</v>
      </c>
      <c r="J68" s="5">
        <v>906000</v>
      </c>
      <c r="L68">
        <v>151</v>
      </c>
      <c r="N68">
        <v>905714</v>
      </c>
    </row>
    <row r="69" spans="1:15" hidden="1" x14ac:dyDescent="0.25">
      <c r="A69" s="4" t="s">
        <v>125</v>
      </c>
      <c r="B69" s="5">
        <v>895684</v>
      </c>
      <c r="C69" s="12">
        <v>4</v>
      </c>
      <c r="D69" s="5">
        <v>223921</v>
      </c>
      <c r="E69" s="12">
        <v>167</v>
      </c>
      <c r="F69" s="12">
        <v>159</v>
      </c>
      <c r="G69" s="12">
        <v>3</v>
      </c>
      <c r="H69" s="9">
        <v>44</v>
      </c>
      <c r="I69" s="4" t="s">
        <v>314</v>
      </c>
      <c r="J69" s="5">
        <v>299000</v>
      </c>
      <c r="L69">
        <v>167</v>
      </c>
      <c r="N69">
        <v>895684</v>
      </c>
    </row>
    <row r="70" spans="1:15" hidden="1" x14ac:dyDescent="0.25">
      <c r="A70" s="4" t="s">
        <v>199</v>
      </c>
      <c r="B70" s="5">
        <v>890889</v>
      </c>
      <c r="C70" s="12">
        <v>4</v>
      </c>
      <c r="D70" s="5">
        <v>222722</v>
      </c>
      <c r="E70" s="12">
        <v>54</v>
      </c>
      <c r="F70" s="12">
        <v>615</v>
      </c>
      <c r="G70" s="12">
        <v>3</v>
      </c>
      <c r="H70" s="9">
        <v>34.299999999999997</v>
      </c>
      <c r="I70" s="4" t="s">
        <v>314</v>
      </c>
      <c r="J70" s="5">
        <v>297000</v>
      </c>
      <c r="L70">
        <v>54</v>
      </c>
      <c r="N70">
        <v>890889</v>
      </c>
    </row>
    <row r="71" spans="1:15" x14ac:dyDescent="0.25">
      <c r="A71" s="4" t="s">
        <v>188</v>
      </c>
      <c r="B71" s="5">
        <v>840420</v>
      </c>
      <c r="C71" s="12">
        <v>2</v>
      </c>
      <c r="D71" s="5">
        <v>420210</v>
      </c>
      <c r="E71" s="12">
        <v>787</v>
      </c>
      <c r="F71" s="12">
        <v>60</v>
      </c>
      <c r="G71" s="12">
        <v>2</v>
      </c>
      <c r="H71" s="9">
        <v>67</v>
      </c>
      <c r="I71" s="4" t="s">
        <v>315</v>
      </c>
      <c r="J71" s="5">
        <v>168000</v>
      </c>
      <c r="L71">
        <v>787</v>
      </c>
      <c r="O71">
        <v>840420</v>
      </c>
    </row>
    <row r="72" spans="1:15" hidden="1" x14ac:dyDescent="0.25">
      <c r="A72" s="4" t="s">
        <v>81</v>
      </c>
      <c r="B72" s="5">
        <v>826950</v>
      </c>
      <c r="C72" s="12">
        <v>5</v>
      </c>
      <c r="D72" s="5">
        <v>165390</v>
      </c>
      <c r="E72" s="12">
        <v>747</v>
      </c>
      <c r="F72" s="12">
        <v>162</v>
      </c>
      <c r="G72" s="12">
        <v>4</v>
      </c>
      <c r="H72" s="9">
        <v>60.1</v>
      </c>
      <c r="I72" s="4" t="s">
        <v>314</v>
      </c>
      <c r="J72" s="5">
        <v>207000</v>
      </c>
      <c r="L72">
        <v>747</v>
      </c>
      <c r="N72">
        <v>826950</v>
      </c>
    </row>
    <row r="73" spans="1:15" x14ac:dyDescent="0.25">
      <c r="A73" s="4" t="s">
        <v>76</v>
      </c>
      <c r="B73" s="5">
        <v>818292</v>
      </c>
      <c r="C73" s="12">
        <v>1</v>
      </c>
      <c r="D73" s="5">
        <v>818292</v>
      </c>
      <c r="E73" s="12">
        <v>922</v>
      </c>
      <c r="F73" s="12">
        <v>1</v>
      </c>
      <c r="G73" s="12">
        <v>1</v>
      </c>
      <c r="H73" s="9">
        <v>73.5</v>
      </c>
      <c r="I73" s="4" t="s">
        <v>315</v>
      </c>
      <c r="J73" s="5">
        <v>327000</v>
      </c>
      <c r="L73">
        <v>922</v>
      </c>
      <c r="O73">
        <v>818292</v>
      </c>
    </row>
    <row r="74" spans="1:15" hidden="1" x14ac:dyDescent="0.25">
      <c r="A74" s="4" t="s">
        <v>98</v>
      </c>
      <c r="B74" s="5">
        <v>798600</v>
      </c>
      <c r="C74" s="12">
        <v>1</v>
      </c>
      <c r="D74" s="5">
        <v>798600</v>
      </c>
      <c r="E74" s="12">
        <v>525</v>
      </c>
      <c r="F74" s="12">
        <v>1</v>
      </c>
      <c r="G74" s="12">
        <v>1</v>
      </c>
      <c r="H74" s="9">
        <v>62.9</v>
      </c>
      <c r="I74" s="4" t="s">
        <v>314</v>
      </c>
      <c r="J74" s="5">
        <v>799000</v>
      </c>
      <c r="L74">
        <v>525</v>
      </c>
      <c r="N74">
        <v>798600</v>
      </c>
    </row>
    <row r="75" spans="1:15" hidden="1" x14ac:dyDescent="0.25">
      <c r="A75" s="4" t="s">
        <v>191</v>
      </c>
      <c r="B75" s="5">
        <v>739088</v>
      </c>
      <c r="C75" s="12">
        <v>4</v>
      </c>
      <c r="D75" s="5">
        <v>184772</v>
      </c>
      <c r="E75" s="12">
        <v>491</v>
      </c>
      <c r="F75" s="12">
        <v>306</v>
      </c>
      <c r="G75" s="12">
        <v>4</v>
      </c>
      <c r="H75" s="9">
        <v>54.4</v>
      </c>
      <c r="I75" s="4" t="s">
        <v>314</v>
      </c>
      <c r="J75" s="5">
        <v>185000</v>
      </c>
      <c r="L75">
        <v>491</v>
      </c>
      <c r="N75">
        <v>739088</v>
      </c>
    </row>
    <row r="76" spans="1:15" hidden="1" x14ac:dyDescent="0.25">
      <c r="A76" s="4" t="s">
        <v>127</v>
      </c>
      <c r="B76" s="5">
        <v>714286</v>
      </c>
      <c r="C76" s="12">
        <v>1</v>
      </c>
      <c r="D76" s="5">
        <v>714286</v>
      </c>
      <c r="E76" s="12">
        <v>301</v>
      </c>
      <c r="F76" s="12">
        <v>1</v>
      </c>
      <c r="G76" s="12">
        <v>1</v>
      </c>
      <c r="H76" s="9">
        <v>56.5</v>
      </c>
      <c r="I76" s="4" t="s">
        <v>314</v>
      </c>
      <c r="J76" s="5">
        <v>714000</v>
      </c>
      <c r="L76">
        <v>301</v>
      </c>
      <c r="N76">
        <v>714286</v>
      </c>
    </row>
    <row r="77" spans="1:15" hidden="1" x14ac:dyDescent="0.25">
      <c r="A77" s="4" t="s">
        <v>209</v>
      </c>
      <c r="B77" s="5">
        <v>705715</v>
      </c>
      <c r="C77" s="12">
        <v>2</v>
      </c>
      <c r="D77" s="5">
        <v>352858</v>
      </c>
      <c r="E77" s="12">
        <v>14</v>
      </c>
      <c r="F77" s="12">
        <v>466</v>
      </c>
      <c r="G77" s="12">
        <v>2</v>
      </c>
      <c r="H77" s="9">
        <v>40.299999999999997</v>
      </c>
      <c r="I77" s="4" t="s">
        <v>314</v>
      </c>
      <c r="J77" s="5">
        <v>353000</v>
      </c>
      <c r="L77">
        <v>14</v>
      </c>
      <c r="N77">
        <v>705715</v>
      </c>
    </row>
    <row r="78" spans="1:15" x14ac:dyDescent="0.25">
      <c r="A78" s="4" t="s">
        <v>48</v>
      </c>
      <c r="B78" s="5">
        <v>697763</v>
      </c>
      <c r="C78" s="12">
        <v>1</v>
      </c>
      <c r="D78" s="5">
        <v>697763</v>
      </c>
      <c r="E78" s="12">
        <v>1124</v>
      </c>
      <c r="F78" s="12">
        <v>1</v>
      </c>
      <c r="G78" s="12">
        <v>1</v>
      </c>
      <c r="H78" s="9">
        <v>78.2</v>
      </c>
      <c r="I78" s="4" t="s">
        <v>315</v>
      </c>
      <c r="J78" s="5">
        <v>279000</v>
      </c>
      <c r="L78">
        <v>1124</v>
      </c>
      <c r="O78">
        <v>697763</v>
      </c>
    </row>
    <row r="79" spans="1:15" x14ac:dyDescent="0.25">
      <c r="A79" s="4" t="s">
        <v>52</v>
      </c>
      <c r="B79" s="5">
        <v>666667</v>
      </c>
      <c r="C79" s="12">
        <v>1</v>
      </c>
      <c r="D79" s="5">
        <v>666667</v>
      </c>
      <c r="E79" s="12">
        <v>1106</v>
      </c>
      <c r="F79" s="12">
        <v>1</v>
      </c>
      <c r="G79" s="12">
        <v>1</v>
      </c>
      <c r="H79" s="9">
        <v>77.599999999999994</v>
      </c>
      <c r="I79" s="4" t="s">
        <v>315</v>
      </c>
      <c r="J79" s="5">
        <v>267000</v>
      </c>
      <c r="L79">
        <v>1106</v>
      </c>
      <c r="O79">
        <v>666667</v>
      </c>
    </row>
    <row r="80" spans="1:15" x14ac:dyDescent="0.25">
      <c r="A80" s="4" t="s">
        <v>194</v>
      </c>
      <c r="B80" s="5">
        <v>603142</v>
      </c>
      <c r="C80" s="12">
        <v>1</v>
      </c>
      <c r="D80" s="5">
        <v>603142</v>
      </c>
      <c r="E80" s="12">
        <v>770</v>
      </c>
      <c r="F80" s="12">
        <v>1</v>
      </c>
      <c r="G80" s="12">
        <v>1</v>
      </c>
      <c r="H80" s="9">
        <v>68.400000000000006</v>
      </c>
      <c r="I80" s="4" t="s">
        <v>315</v>
      </c>
      <c r="J80" s="5">
        <v>241000</v>
      </c>
      <c r="L80">
        <v>770</v>
      </c>
      <c r="O80">
        <v>603142</v>
      </c>
    </row>
    <row r="81" spans="1:15" hidden="1" x14ac:dyDescent="0.25">
      <c r="A81" s="4" t="s">
        <v>72</v>
      </c>
      <c r="B81" s="5">
        <v>595976</v>
      </c>
      <c r="C81" s="12">
        <v>3</v>
      </c>
      <c r="D81" s="5">
        <v>198659</v>
      </c>
      <c r="E81" s="12">
        <v>603</v>
      </c>
      <c r="F81" s="12">
        <v>322</v>
      </c>
      <c r="G81" s="12">
        <v>3</v>
      </c>
      <c r="H81" s="9">
        <v>57.2</v>
      </c>
      <c r="I81" s="4" t="s">
        <v>314</v>
      </c>
      <c r="J81" s="5">
        <v>199000</v>
      </c>
      <c r="L81">
        <v>603</v>
      </c>
      <c r="N81">
        <v>595976</v>
      </c>
    </row>
    <row r="82" spans="1:15" hidden="1" x14ac:dyDescent="0.25">
      <c r="A82" s="4" t="s">
        <v>227</v>
      </c>
      <c r="B82" s="5">
        <v>595235</v>
      </c>
      <c r="C82" s="12">
        <v>2</v>
      </c>
      <c r="D82" s="5">
        <v>297618</v>
      </c>
      <c r="E82" s="12">
        <v>74</v>
      </c>
      <c r="F82" s="12">
        <v>8</v>
      </c>
      <c r="G82" s="12">
        <v>1</v>
      </c>
      <c r="H82" s="9">
        <v>35.799999999999997</v>
      </c>
      <c r="I82" s="4" t="s">
        <v>314</v>
      </c>
      <c r="J82" s="5">
        <v>595000</v>
      </c>
      <c r="L82">
        <v>74</v>
      </c>
      <c r="N82">
        <v>595235</v>
      </c>
    </row>
    <row r="83" spans="1:15" hidden="1" x14ac:dyDescent="0.25">
      <c r="A83" s="4" t="s">
        <v>212</v>
      </c>
      <c r="B83" s="5">
        <v>570059</v>
      </c>
      <c r="C83" s="12">
        <v>3</v>
      </c>
      <c r="D83" s="5">
        <v>190020</v>
      </c>
      <c r="E83" s="12">
        <v>141</v>
      </c>
      <c r="F83" s="12">
        <v>257</v>
      </c>
      <c r="G83" s="12">
        <v>3</v>
      </c>
      <c r="H83" s="9">
        <v>45.9</v>
      </c>
      <c r="I83" s="4" t="s">
        <v>314</v>
      </c>
      <c r="J83" s="5">
        <v>190000</v>
      </c>
      <c r="L83">
        <v>141</v>
      </c>
      <c r="N83">
        <v>570059</v>
      </c>
    </row>
    <row r="84" spans="1:15" x14ac:dyDescent="0.25">
      <c r="A84" s="4" t="s">
        <v>84</v>
      </c>
      <c r="B84" s="5">
        <v>562857</v>
      </c>
      <c r="C84" s="12">
        <v>1</v>
      </c>
      <c r="D84" s="5">
        <v>562857</v>
      </c>
      <c r="E84" s="12">
        <v>851</v>
      </c>
      <c r="F84" s="12">
        <v>1</v>
      </c>
      <c r="G84" s="12">
        <v>1</v>
      </c>
      <c r="H84" s="9">
        <v>70.3</v>
      </c>
      <c r="I84" s="4" t="s">
        <v>315</v>
      </c>
      <c r="J84" s="5">
        <v>225000</v>
      </c>
      <c r="L84">
        <v>851</v>
      </c>
      <c r="O84">
        <v>562857</v>
      </c>
    </row>
    <row r="85" spans="1:15" hidden="1" x14ac:dyDescent="0.25">
      <c r="A85" s="4" t="s">
        <v>107</v>
      </c>
      <c r="B85" s="5">
        <v>428906</v>
      </c>
      <c r="C85" s="12">
        <v>2</v>
      </c>
      <c r="D85" s="5">
        <v>214453</v>
      </c>
      <c r="E85" s="12">
        <v>409</v>
      </c>
      <c r="F85" s="12">
        <v>5</v>
      </c>
      <c r="G85" s="12">
        <v>1</v>
      </c>
      <c r="H85" s="9">
        <v>44.3</v>
      </c>
      <c r="I85" s="4" t="s">
        <v>314</v>
      </c>
      <c r="J85" s="5">
        <v>429000</v>
      </c>
      <c r="L85">
        <v>409</v>
      </c>
      <c r="N85">
        <v>428906</v>
      </c>
    </row>
    <row r="86" spans="1:15" hidden="1" x14ac:dyDescent="0.25">
      <c r="A86" s="4" t="s">
        <v>223</v>
      </c>
      <c r="B86" s="5">
        <v>428400</v>
      </c>
      <c r="C86" s="12">
        <v>1</v>
      </c>
      <c r="D86" s="5">
        <v>428400</v>
      </c>
      <c r="E86" s="12">
        <v>154</v>
      </c>
      <c r="F86" s="12">
        <v>1</v>
      </c>
      <c r="G86" s="12">
        <v>1</v>
      </c>
      <c r="H86" s="9">
        <v>51.2</v>
      </c>
      <c r="I86" s="4" t="s">
        <v>314</v>
      </c>
      <c r="J86" s="5">
        <v>428000</v>
      </c>
      <c r="L86">
        <v>154</v>
      </c>
      <c r="N86">
        <v>428400</v>
      </c>
    </row>
    <row r="87" spans="1:15" hidden="1" x14ac:dyDescent="0.25">
      <c r="A87" s="4" t="s">
        <v>103</v>
      </c>
      <c r="B87" s="5">
        <v>417405</v>
      </c>
      <c r="C87" s="12">
        <v>2</v>
      </c>
      <c r="D87" s="5">
        <v>208702</v>
      </c>
      <c r="E87" s="12">
        <v>377</v>
      </c>
      <c r="F87" s="12">
        <v>82</v>
      </c>
      <c r="G87" s="12">
        <v>2</v>
      </c>
      <c r="H87" s="9">
        <v>54.8</v>
      </c>
      <c r="I87" s="4" t="s">
        <v>314</v>
      </c>
      <c r="J87" s="5">
        <v>209000</v>
      </c>
      <c r="L87">
        <v>377</v>
      </c>
      <c r="N87">
        <v>417405</v>
      </c>
    </row>
    <row r="88" spans="1:15" hidden="1" x14ac:dyDescent="0.25">
      <c r="A88" s="4" t="s">
        <v>136</v>
      </c>
      <c r="B88" s="5">
        <v>399991</v>
      </c>
      <c r="C88" s="12">
        <v>1</v>
      </c>
      <c r="D88" s="5">
        <v>399991</v>
      </c>
      <c r="E88" s="12">
        <v>141</v>
      </c>
      <c r="F88" s="12">
        <v>1</v>
      </c>
      <c r="G88" s="12">
        <v>1</v>
      </c>
      <c r="H88" s="9">
        <v>50.7</v>
      </c>
      <c r="I88" s="4" t="s">
        <v>314</v>
      </c>
      <c r="J88" s="5">
        <v>400000</v>
      </c>
      <c r="L88">
        <v>141</v>
      </c>
      <c r="N88">
        <v>399991</v>
      </c>
    </row>
    <row r="89" spans="1:15" hidden="1" x14ac:dyDescent="0.25">
      <c r="A89" s="4" t="s">
        <v>208</v>
      </c>
      <c r="B89" s="5">
        <v>397525</v>
      </c>
      <c r="C89" s="12">
        <v>2</v>
      </c>
      <c r="D89" s="5">
        <v>198762</v>
      </c>
      <c r="E89" s="12">
        <v>491</v>
      </c>
      <c r="F89" s="12">
        <v>16</v>
      </c>
      <c r="G89" s="12">
        <v>2</v>
      </c>
      <c r="H89" s="9">
        <v>58.7</v>
      </c>
      <c r="I89" s="4" t="s">
        <v>314</v>
      </c>
      <c r="J89" s="5">
        <v>199000</v>
      </c>
      <c r="L89">
        <v>491</v>
      </c>
      <c r="N89">
        <v>397525</v>
      </c>
    </row>
    <row r="90" spans="1:15" x14ac:dyDescent="0.25">
      <c r="A90" s="4" t="s">
        <v>71</v>
      </c>
      <c r="B90" s="5">
        <v>380950</v>
      </c>
      <c r="C90" s="12">
        <v>1</v>
      </c>
      <c r="D90" s="5">
        <v>380950</v>
      </c>
      <c r="E90" s="12">
        <v>925</v>
      </c>
      <c r="F90" s="12">
        <v>1</v>
      </c>
      <c r="G90" s="12">
        <v>1</v>
      </c>
      <c r="H90" s="9">
        <v>71.3</v>
      </c>
      <c r="I90" s="4" t="s">
        <v>315</v>
      </c>
      <c r="J90" s="5">
        <v>152000</v>
      </c>
      <c r="L90">
        <v>925</v>
      </c>
      <c r="O90">
        <v>380950</v>
      </c>
    </row>
    <row r="91" spans="1:15" hidden="1" x14ac:dyDescent="0.25">
      <c r="A91" s="4" t="s">
        <v>121</v>
      </c>
      <c r="B91" s="5">
        <v>371520</v>
      </c>
      <c r="C91" s="12">
        <v>1</v>
      </c>
      <c r="D91" s="5">
        <v>371520</v>
      </c>
      <c r="E91" s="12">
        <v>354</v>
      </c>
      <c r="F91" s="12">
        <v>1</v>
      </c>
      <c r="G91" s="12">
        <v>1</v>
      </c>
      <c r="H91" s="9">
        <v>56.2</v>
      </c>
      <c r="I91" s="4" t="s">
        <v>314</v>
      </c>
      <c r="J91" s="5">
        <v>372000</v>
      </c>
      <c r="L91">
        <v>354</v>
      </c>
      <c r="N91">
        <v>371520</v>
      </c>
    </row>
    <row r="92" spans="1:15" hidden="1" x14ac:dyDescent="0.25">
      <c r="A92" s="4" t="s">
        <v>205</v>
      </c>
      <c r="B92" s="5">
        <v>353527</v>
      </c>
      <c r="C92" s="12">
        <v>2</v>
      </c>
      <c r="D92" s="5">
        <v>176763</v>
      </c>
      <c r="E92" s="12">
        <v>516</v>
      </c>
      <c r="F92" s="12">
        <v>12</v>
      </c>
      <c r="G92" s="12">
        <v>2</v>
      </c>
      <c r="H92" s="9">
        <v>59.3</v>
      </c>
      <c r="I92" s="4" t="s">
        <v>314</v>
      </c>
      <c r="J92" s="5">
        <v>177000</v>
      </c>
      <c r="L92">
        <v>516</v>
      </c>
      <c r="N92">
        <v>353527</v>
      </c>
    </row>
    <row r="93" spans="1:15" hidden="1" x14ac:dyDescent="0.25">
      <c r="A93" s="4" t="s">
        <v>204</v>
      </c>
      <c r="B93" s="5">
        <v>342873</v>
      </c>
      <c r="C93" s="12">
        <v>1</v>
      </c>
      <c r="D93" s="5">
        <v>342873</v>
      </c>
      <c r="E93" s="12">
        <v>528</v>
      </c>
      <c r="F93" s="12">
        <v>1</v>
      </c>
      <c r="G93" s="12">
        <v>1</v>
      </c>
      <c r="H93" s="9">
        <v>60.6</v>
      </c>
      <c r="I93" s="4" t="s">
        <v>314</v>
      </c>
      <c r="J93" s="5">
        <v>343000</v>
      </c>
      <c r="L93">
        <v>528</v>
      </c>
      <c r="N93">
        <v>342873</v>
      </c>
    </row>
    <row r="94" spans="1:15" x14ac:dyDescent="0.25">
      <c r="A94" s="4" t="s">
        <v>77</v>
      </c>
      <c r="B94" s="5">
        <v>335431</v>
      </c>
      <c r="C94" s="12">
        <v>1</v>
      </c>
      <c r="D94" s="5">
        <v>335431</v>
      </c>
      <c r="E94" s="12">
        <v>921</v>
      </c>
      <c r="F94" s="12">
        <v>1</v>
      </c>
      <c r="G94" s="12">
        <v>1</v>
      </c>
      <c r="H94" s="9">
        <v>71</v>
      </c>
      <c r="I94" s="4" t="s">
        <v>315</v>
      </c>
      <c r="J94" s="5">
        <v>134000</v>
      </c>
      <c r="L94">
        <v>921</v>
      </c>
      <c r="O94">
        <v>335431</v>
      </c>
    </row>
    <row r="95" spans="1:15" x14ac:dyDescent="0.25">
      <c r="A95" s="4" t="s">
        <v>179</v>
      </c>
      <c r="B95" s="5">
        <v>334284</v>
      </c>
      <c r="C95" s="12">
        <v>1</v>
      </c>
      <c r="D95" s="5">
        <v>334284</v>
      </c>
      <c r="E95" s="12">
        <v>918</v>
      </c>
      <c r="F95" s="12">
        <v>1</v>
      </c>
      <c r="G95" s="12">
        <v>1</v>
      </c>
      <c r="H95" s="9">
        <v>70.900000000000006</v>
      </c>
      <c r="I95" s="4" t="s">
        <v>315</v>
      </c>
      <c r="J95" s="5">
        <v>134000</v>
      </c>
      <c r="L95">
        <v>918</v>
      </c>
      <c r="O95">
        <v>334284</v>
      </c>
    </row>
    <row r="96" spans="1:15" hidden="1" x14ac:dyDescent="0.25">
      <c r="A96" s="4" t="s">
        <v>218</v>
      </c>
      <c r="B96" s="5">
        <v>330952</v>
      </c>
      <c r="C96" s="12">
        <v>1</v>
      </c>
      <c r="D96" s="5">
        <v>330952</v>
      </c>
      <c r="E96" s="12">
        <v>311</v>
      </c>
      <c r="F96" s="12">
        <v>1</v>
      </c>
      <c r="G96" s="12">
        <v>1</v>
      </c>
      <c r="H96" s="9">
        <v>54.8</v>
      </c>
      <c r="I96" s="4" t="s">
        <v>314</v>
      </c>
      <c r="J96" s="5">
        <v>331000</v>
      </c>
      <c r="L96">
        <v>311</v>
      </c>
      <c r="N96">
        <v>330952</v>
      </c>
    </row>
    <row r="97" spans="1:15" hidden="1" x14ac:dyDescent="0.25">
      <c r="A97" s="4" t="s">
        <v>85</v>
      </c>
      <c r="B97" s="5">
        <v>329418</v>
      </c>
      <c r="C97" s="12">
        <v>2</v>
      </c>
      <c r="D97" s="5">
        <v>164709</v>
      </c>
      <c r="E97" s="12">
        <v>807</v>
      </c>
      <c r="F97" s="12">
        <v>6</v>
      </c>
      <c r="G97" s="12">
        <v>1</v>
      </c>
      <c r="H97" s="9">
        <v>54.6</v>
      </c>
      <c r="I97" s="4" t="s">
        <v>314</v>
      </c>
      <c r="J97" s="5">
        <v>329000</v>
      </c>
      <c r="L97">
        <v>807</v>
      </c>
      <c r="N97">
        <v>329418</v>
      </c>
    </row>
    <row r="98" spans="1:15" hidden="1" x14ac:dyDescent="0.25">
      <c r="A98" s="4" t="s">
        <v>145</v>
      </c>
      <c r="B98" s="5">
        <v>320665</v>
      </c>
      <c r="C98" s="12">
        <v>1</v>
      </c>
      <c r="D98" s="5">
        <v>320665</v>
      </c>
      <c r="E98" s="12">
        <v>49</v>
      </c>
      <c r="F98" s="12">
        <v>1</v>
      </c>
      <c r="G98" s="12">
        <v>1</v>
      </c>
      <c r="H98" s="9">
        <v>47.9</v>
      </c>
      <c r="I98" s="4" t="s">
        <v>314</v>
      </c>
      <c r="J98" s="5">
        <v>321000</v>
      </c>
      <c r="L98">
        <v>49</v>
      </c>
      <c r="N98">
        <v>320665</v>
      </c>
    </row>
    <row r="99" spans="1:15" hidden="1" x14ac:dyDescent="0.25">
      <c r="A99" s="4" t="s">
        <v>110</v>
      </c>
      <c r="B99" s="5">
        <v>317154</v>
      </c>
      <c r="C99" s="12">
        <v>3</v>
      </c>
      <c r="D99" s="5">
        <v>105718</v>
      </c>
      <c r="E99" s="12">
        <v>342</v>
      </c>
      <c r="F99" s="12">
        <v>58</v>
      </c>
      <c r="G99" s="12">
        <v>2</v>
      </c>
      <c r="H99" s="9">
        <v>47.4</v>
      </c>
      <c r="I99" s="4" t="s">
        <v>314</v>
      </c>
      <c r="J99" s="5">
        <v>159000</v>
      </c>
      <c r="L99">
        <v>342</v>
      </c>
      <c r="N99">
        <v>317154</v>
      </c>
    </row>
    <row r="100" spans="1:15" hidden="1" x14ac:dyDescent="0.25">
      <c r="A100" s="4" t="s">
        <v>108</v>
      </c>
      <c r="B100" s="5">
        <v>290000</v>
      </c>
      <c r="C100" s="12">
        <v>1</v>
      </c>
      <c r="D100" s="5">
        <v>290000</v>
      </c>
      <c r="E100" s="12">
        <v>409</v>
      </c>
      <c r="F100" s="12">
        <v>1</v>
      </c>
      <c r="G100" s="12">
        <v>1</v>
      </c>
      <c r="H100" s="9">
        <v>57.2</v>
      </c>
      <c r="I100" s="4" t="s">
        <v>314</v>
      </c>
      <c r="J100" s="5">
        <v>290000</v>
      </c>
      <c r="L100">
        <v>409</v>
      </c>
      <c r="N100">
        <v>290000</v>
      </c>
    </row>
    <row r="101" spans="1:15" hidden="1" x14ac:dyDescent="0.25">
      <c r="A101" s="4" t="s">
        <v>63</v>
      </c>
      <c r="B101" s="5">
        <v>266199</v>
      </c>
      <c r="C101" s="12">
        <v>2</v>
      </c>
      <c r="D101" s="5">
        <v>133100</v>
      </c>
      <c r="E101" s="12">
        <v>384</v>
      </c>
      <c r="F101" s="12">
        <v>634</v>
      </c>
      <c r="G101" s="12">
        <v>2</v>
      </c>
      <c r="H101" s="9">
        <v>46.5</v>
      </c>
      <c r="I101" s="4" t="s">
        <v>314</v>
      </c>
      <c r="J101" s="5">
        <v>133000</v>
      </c>
      <c r="L101">
        <v>384</v>
      </c>
      <c r="N101">
        <v>266199</v>
      </c>
    </row>
    <row r="102" spans="1:15" x14ac:dyDescent="0.25">
      <c r="A102" s="4" t="s">
        <v>45</v>
      </c>
      <c r="B102" s="5">
        <v>251448</v>
      </c>
      <c r="C102" s="12">
        <v>1</v>
      </c>
      <c r="D102" s="5">
        <v>251448</v>
      </c>
      <c r="E102" s="12">
        <v>1219</v>
      </c>
      <c r="F102" s="12">
        <v>1</v>
      </c>
      <c r="G102" s="12">
        <v>1</v>
      </c>
      <c r="H102" s="9">
        <v>78.5</v>
      </c>
      <c r="I102" s="4" t="s">
        <v>315</v>
      </c>
      <c r="J102" s="5">
        <v>101000</v>
      </c>
      <c r="L102">
        <v>1219</v>
      </c>
      <c r="O102">
        <v>251448</v>
      </c>
    </row>
    <row r="103" spans="1:15" hidden="1" x14ac:dyDescent="0.25">
      <c r="A103" s="4" t="s">
        <v>214</v>
      </c>
      <c r="B103" s="5">
        <v>247380</v>
      </c>
      <c r="C103" s="12">
        <v>1</v>
      </c>
      <c r="D103" s="5">
        <v>247380</v>
      </c>
      <c r="E103" s="12">
        <v>375</v>
      </c>
      <c r="F103" s="12">
        <v>1</v>
      </c>
      <c r="G103" s="12">
        <v>1</v>
      </c>
      <c r="H103" s="9">
        <v>56.1</v>
      </c>
      <c r="I103" s="4" t="s">
        <v>314</v>
      </c>
      <c r="J103" s="5">
        <v>247000</v>
      </c>
      <c r="L103">
        <v>375</v>
      </c>
      <c r="N103">
        <v>247380</v>
      </c>
    </row>
    <row r="104" spans="1:15" x14ac:dyDescent="0.25">
      <c r="A104" s="4" t="s">
        <v>177</v>
      </c>
      <c r="B104" s="5">
        <v>241657</v>
      </c>
      <c r="C104" s="12">
        <v>2</v>
      </c>
      <c r="D104" s="5">
        <v>120829</v>
      </c>
      <c r="E104" s="12">
        <v>899</v>
      </c>
      <c r="F104" s="12">
        <v>39</v>
      </c>
      <c r="G104" s="12">
        <v>2</v>
      </c>
      <c r="H104" s="9">
        <v>68.8</v>
      </c>
      <c r="I104" s="4" t="s">
        <v>315</v>
      </c>
      <c r="J104" s="5">
        <v>48000</v>
      </c>
      <c r="L104">
        <v>899</v>
      </c>
      <c r="O104">
        <v>241657</v>
      </c>
    </row>
    <row r="105" spans="1:15" x14ac:dyDescent="0.25">
      <c r="A105" s="4" t="s">
        <v>178</v>
      </c>
      <c r="B105" s="5">
        <v>231867</v>
      </c>
      <c r="C105" s="12">
        <v>1</v>
      </c>
      <c r="D105" s="5">
        <v>231867</v>
      </c>
      <c r="E105" s="12">
        <v>937</v>
      </c>
      <c r="F105" s="12">
        <v>1</v>
      </c>
      <c r="G105" s="12">
        <v>1</v>
      </c>
      <c r="H105" s="9">
        <v>70.900000000000006</v>
      </c>
      <c r="I105" s="4" t="s">
        <v>315</v>
      </c>
      <c r="J105" s="5">
        <v>93000</v>
      </c>
      <c r="L105">
        <v>937</v>
      </c>
      <c r="O105">
        <v>231867</v>
      </c>
    </row>
    <row r="106" spans="1:15" hidden="1" x14ac:dyDescent="0.25">
      <c r="A106" s="4" t="s">
        <v>200</v>
      </c>
      <c r="B106" s="5">
        <v>226668</v>
      </c>
      <c r="C106" s="12">
        <v>3</v>
      </c>
      <c r="D106" s="5">
        <v>75556</v>
      </c>
      <c r="E106" s="12">
        <v>433</v>
      </c>
      <c r="F106" s="12">
        <v>215</v>
      </c>
      <c r="G106" s="12">
        <v>3</v>
      </c>
      <c r="H106" s="9">
        <v>53.7</v>
      </c>
      <c r="I106" s="4" t="s">
        <v>314</v>
      </c>
      <c r="J106" s="5">
        <v>76000</v>
      </c>
      <c r="L106">
        <v>433</v>
      </c>
      <c r="N106">
        <v>226668</v>
      </c>
    </row>
    <row r="107" spans="1:15" hidden="1" x14ac:dyDescent="0.25">
      <c r="A107" s="4" t="s">
        <v>221</v>
      </c>
      <c r="B107" s="5">
        <v>224575</v>
      </c>
      <c r="C107" s="12">
        <v>1</v>
      </c>
      <c r="D107" s="5">
        <v>224575</v>
      </c>
      <c r="E107" s="12">
        <v>241</v>
      </c>
      <c r="F107" s="12">
        <v>1</v>
      </c>
      <c r="G107" s="12">
        <v>1</v>
      </c>
      <c r="H107" s="9">
        <v>52.5</v>
      </c>
      <c r="I107" s="4" t="s">
        <v>314</v>
      </c>
      <c r="J107" s="5">
        <v>225000</v>
      </c>
      <c r="L107">
        <v>241</v>
      </c>
      <c r="N107">
        <v>224575</v>
      </c>
    </row>
    <row r="108" spans="1:15" hidden="1" x14ac:dyDescent="0.25">
      <c r="A108" s="4" t="s">
        <v>146</v>
      </c>
      <c r="B108" s="5">
        <v>221429</v>
      </c>
      <c r="C108" s="12">
        <v>1</v>
      </c>
      <c r="D108" s="5">
        <v>221429</v>
      </c>
      <c r="E108" s="12">
        <v>33</v>
      </c>
      <c r="F108" s="12">
        <v>1</v>
      </c>
      <c r="G108" s="12">
        <v>1</v>
      </c>
      <c r="H108" s="9">
        <v>46.9</v>
      </c>
      <c r="I108" s="4" t="s">
        <v>314</v>
      </c>
      <c r="J108" s="5">
        <v>221000</v>
      </c>
      <c r="L108">
        <v>33</v>
      </c>
      <c r="N108">
        <v>221429</v>
      </c>
    </row>
    <row r="109" spans="1:15" x14ac:dyDescent="0.25">
      <c r="A109" s="4" t="s">
        <v>189</v>
      </c>
      <c r="B109" s="5">
        <v>213333</v>
      </c>
      <c r="C109" s="12">
        <v>1</v>
      </c>
      <c r="D109" s="5">
        <v>213333</v>
      </c>
      <c r="E109" s="12">
        <v>837</v>
      </c>
      <c r="F109" s="12">
        <v>1</v>
      </c>
      <c r="G109" s="12">
        <v>1</v>
      </c>
      <c r="H109" s="9">
        <v>68.2</v>
      </c>
      <c r="I109" s="4" t="s">
        <v>315</v>
      </c>
      <c r="J109" s="5">
        <v>85000</v>
      </c>
      <c r="L109">
        <v>837</v>
      </c>
      <c r="O109">
        <v>213333</v>
      </c>
    </row>
    <row r="110" spans="1:15" hidden="1" x14ac:dyDescent="0.25">
      <c r="A110" s="4" t="s">
        <v>106</v>
      </c>
      <c r="B110" s="5">
        <v>211429</v>
      </c>
      <c r="C110" s="12">
        <v>1</v>
      </c>
      <c r="D110" s="5">
        <v>211429</v>
      </c>
      <c r="E110" s="12">
        <v>418</v>
      </c>
      <c r="F110" s="12">
        <v>1</v>
      </c>
      <c r="G110" s="12">
        <v>1</v>
      </c>
      <c r="H110" s="9">
        <v>57.1</v>
      </c>
      <c r="I110" s="4" t="s">
        <v>314</v>
      </c>
      <c r="J110" s="5">
        <v>211000</v>
      </c>
      <c r="L110">
        <v>418</v>
      </c>
      <c r="N110">
        <v>211429</v>
      </c>
    </row>
    <row r="111" spans="1:15" hidden="1" x14ac:dyDescent="0.25">
      <c r="A111" s="4" t="s">
        <v>132</v>
      </c>
      <c r="B111" s="5">
        <v>199048</v>
      </c>
      <c r="C111" s="12">
        <v>1</v>
      </c>
      <c r="D111" s="5">
        <v>199048</v>
      </c>
      <c r="E111" s="12">
        <v>270</v>
      </c>
      <c r="F111" s="12">
        <v>1</v>
      </c>
      <c r="G111" s="12">
        <v>1</v>
      </c>
      <c r="H111" s="9">
        <v>53.1</v>
      </c>
      <c r="I111" s="4" t="s">
        <v>314</v>
      </c>
      <c r="J111" s="5">
        <v>199000</v>
      </c>
      <c r="L111">
        <v>270</v>
      </c>
      <c r="N111">
        <v>199048</v>
      </c>
    </row>
    <row r="112" spans="1:15" x14ac:dyDescent="0.25">
      <c r="A112" s="4" t="s">
        <v>69</v>
      </c>
      <c r="B112" s="5">
        <v>190480</v>
      </c>
      <c r="C112" s="12">
        <v>1</v>
      </c>
      <c r="D112" s="5">
        <v>190480</v>
      </c>
      <c r="E112" s="12">
        <v>937</v>
      </c>
      <c r="F112" s="12">
        <v>1</v>
      </c>
      <c r="G112" s="12">
        <v>1</v>
      </c>
      <c r="H112" s="9">
        <v>70.7</v>
      </c>
      <c r="I112" s="4" t="s">
        <v>315</v>
      </c>
      <c r="J112" s="5">
        <v>76000</v>
      </c>
      <c r="L112">
        <v>937</v>
      </c>
      <c r="O112">
        <v>190480</v>
      </c>
    </row>
    <row r="113" spans="1:15" hidden="1" x14ac:dyDescent="0.25">
      <c r="A113" s="4" t="s">
        <v>139</v>
      </c>
      <c r="B113" s="5">
        <v>190476</v>
      </c>
      <c r="C113" s="12">
        <v>1</v>
      </c>
      <c r="D113" s="5">
        <v>190476</v>
      </c>
      <c r="E113" s="12">
        <v>158</v>
      </c>
      <c r="F113" s="12">
        <v>1</v>
      </c>
      <c r="G113" s="12">
        <v>1</v>
      </c>
      <c r="H113" s="9">
        <v>50.1</v>
      </c>
      <c r="I113" s="4" t="s">
        <v>314</v>
      </c>
      <c r="J113" s="5">
        <v>190000</v>
      </c>
      <c r="L113">
        <v>158</v>
      </c>
      <c r="N113">
        <v>190476</v>
      </c>
    </row>
    <row r="114" spans="1:15" x14ac:dyDescent="0.25">
      <c r="A114" s="4" t="s">
        <v>156</v>
      </c>
      <c r="B114" s="5">
        <v>190400</v>
      </c>
      <c r="C114" s="12">
        <v>1</v>
      </c>
      <c r="D114" s="5">
        <v>190400</v>
      </c>
      <c r="E114" s="12">
        <v>1050</v>
      </c>
      <c r="F114" s="12">
        <v>1</v>
      </c>
      <c r="G114" s="12">
        <v>1</v>
      </c>
      <c r="H114" s="9">
        <v>73.7</v>
      </c>
      <c r="I114" s="4" t="s">
        <v>315</v>
      </c>
      <c r="J114" s="5">
        <v>76000</v>
      </c>
      <c r="L114">
        <v>1050</v>
      </c>
      <c r="O114">
        <v>190400</v>
      </c>
    </row>
    <row r="115" spans="1:15" hidden="1" x14ac:dyDescent="0.25">
      <c r="A115" s="4" t="s">
        <v>142</v>
      </c>
      <c r="B115" s="5">
        <v>174190</v>
      </c>
      <c r="C115" s="12">
        <v>1</v>
      </c>
      <c r="D115" s="5">
        <v>174190</v>
      </c>
      <c r="E115" s="12">
        <v>139</v>
      </c>
      <c r="F115" s="12">
        <v>1</v>
      </c>
      <c r="G115" s="12">
        <v>1</v>
      </c>
      <c r="H115" s="9">
        <v>49.5</v>
      </c>
      <c r="I115" s="4" t="s">
        <v>314</v>
      </c>
      <c r="J115" s="5">
        <v>174000</v>
      </c>
      <c r="L115">
        <v>139</v>
      </c>
      <c r="N115">
        <v>174190</v>
      </c>
    </row>
    <row r="116" spans="1:15" hidden="1" x14ac:dyDescent="0.25">
      <c r="A116" s="4" t="s">
        <v>131</v>
      </c>
      <c r="B116" s="5">
        <v>160905</v>
      </c>
      <c r="C116" s="12">
        <v>5</v>
      </c>
      <c r="D116" s="5">
        <v>32181</v>
      </c>
      <c r="E116" s="12">
        <v>154</v>
      </c>
      <c r="F116" s="12">
        <v>123</v>
      </c>
      <c r="G116" s="12">
        <v>4</v>
      </c>
      <c r="H116" s="9">
        <v>44.3</v>
      </c>
      <c r="I116" s="4" t="s">
        <v>314</v>
      </c>
      <c r="J116" s="5">
        <v>40000</v>
      </c>
      <c r="L116">
        <v>154</v>
      </c>
      <c r="N116">
        <v>160905</v>
      </c>
    </row>
    <row r="117" spans="1:15" hidden="1" x14ac:dyDescent="0.25">
      <c r="A117" s="4" t="s">
        <v>168</v>
      </c>
      <c r="B117" s="5">
        <v>156190</v>
      </c>
      <c r="C117" s="12">
        <v>2</v>
      </c>
      <c r="D117" s="5">
        <v>78095</v>
      </c>
      <c r="E117" s="12">
        <v>480</v>
      </c>
      <c r="F117" s="12">
        <v>16</v>
      </c>
      <c r="G117" s="12">
        <v>1</v>
      </c>
      <c r="H117" s="9">
        <v>45.3</v>
      </c>
      <c r="I117" s="4" t="s">
        <v>314</v>
      </c>
      <c r="J117" s="5">
        <v>156000</v>
      </c>
      <c r="L117">
        <v>480</v>
      </c>
      <c r="N117">
        <v>156190</v>
      </c>
    </row>
    <row r="118" spans="1:15" hidden="1" x14ac:dyDescent="0.25">
      <c r="A118" s="4" t="s">
        <v>144</v>
      </c>
      <c r="B118" s="5">
        <v>151848</v>
      </c>
      <c r="C118" s="12">
        <v>2</v>
      </c>
      <c r="D118" s="5">
        <v>75924</v>
      </c>
      <c r="E118" s="12">
        <v>41</v>
      </c>
      <c r="F118" s="12">
        <v>50</v>
      </c>
      <c r="G118" s="12">
        <v>2</v>
      </c>
      <c r="H118" s="9">
        <v>45.7</v>
      </c>
      <c r="I118" s="4" t="s">
        <v>314</v>
      </c>
      <c r="J118" s="5">
        <v>76000</v>
      </c>
      <c r="L118">
        <v>41</v>
      </c>
      <c r="N118">
        <v>151848</v>
      </c>
    </row>
    <row r="119" spans="1:15" x14ac:dyDescent="0.25">
      <c r="A119" s="4" t="s">
        <v>56</v>
      </c>
      <c r="B119" s="5">
        <v>150361</v>
      </c>
      <c r="C119" s="12">
        <v>1</v>
      </c>
      <c r="D119" s="5">
        <v>150361</v>
      </c>
      <c r="E119" s="12">
        <v>1063</v>
      </c>
      <c r="F119" s="12">
        <v>1</v>
      </c>
      <c r="G119" s="12">
        <v>1</v>
      </c>
      <c r="H119" s="9">
        <v>73.8</v>
      </c>
      <c r="I119" s="4" t="s">
        <v>315</v>
      </c>
      <c r="J119" s="5">
        <v>60000</v>
      </c>
      <c r="L119">
        <v>1063</v>
      </c>
      <c r="O119">
        <v>150361</v>
      </c>
    </row>
    <row r="120" spans="1:15" hidden="1" x14ac:dyDescent="0.25">
      <c r="A120" s="4" t="s">
        <v>116</v>
      </c>
      <c r="B120" s="5">
        <v>142380</v>
      </c>
      <c r="C120" s="12">
        <v>1</v>
      </c>
      <c r="D120" s="5">
        <v>142380</v>
      </c>
      <c r="E120" s="12">
        <v>391</v>
      </c>
      <c r="F120" s="12">
        <v>1</v>
      </c>
      <c r="G120" s="12">
        <v>1</v>
      </c>
      <c r="H120" s="9">
        <v>56</v>
      </c>
      <c r="I120" s="4" t="s">
        <v>314</v>
      </c>
      <c r="J120" s="5">
        <v>142000</v>
      </c>
      <c r="L120">
        <v>391</v>
      </c>
      <c r="N120">
        <v>142380</v>
      </c>
    </row>
    <row r="121" spans="1:15" hidden="1" x14ac:dyDescent="0.25">
      <c r="A121" s="4" t="s">
        <v>219</v>
      </c>
      <c r="B121" s="5">
        <v>141900</v>
      </c>
      <c r="C121" s="12">
        <v>1</v>
      </c>
      <c r="D121" s="5">
        <v>141900</v>
      </c>
      <c r="E121" s="12">
        <v>307</v>
      </c>
      <c r="F121" s="12">
        <v>1</v>
      </c>
      <c r="G121" s="12">
        <v>1</v>
      </c>
      <c r="H121" s="9">
        <v>53.8</v>
      </c>
      <c r="I121" s="4" t="s">
        <v>314</v>
      </c>
      <c r="J121" s="5">
        <v>142000</v>
      </c>
      <c r="L121">
        <v>307</v>
      </c>
      <c r="N121">
        <v>141900</v>
      </c>
    </row>
    <row r="122" spans="1:15" hidden="1" x14ac:dyDescent="0.25">
      <c r="A122" s="4" t="s">
        <v>228</v>
      </c>
      <c r="B122" s="5">
        <v>140960</v>
      </c>
      <c r="C122" s="12">
        <v>1</v>
      </c>
      <c r="D122" s="5">
        <v>140960</v>
      </c>
      <c r="E122" s="12">
        <v>38</v>
      </c>
      <c r="F122" s="12">
        <v>1</v>
      </c>
      <c r="G122" s="12">
        <v>1</v>
      </c>
      <c r="H122" s="9">
        <v>46.7</v>
      </c>
      <c r="I122" s="4" t="s">
        <v>314</v>
      </c>
      <c r="J122" s="5">
        <v>141000</v>
      </c>
      <c r="L122">
        <v>38</v>
      </c>
      <c r="N122">
        <v>140960</v>
      </c>
    </row>
    <row r="123" spans="1:15" x14ac:dyDescent="0.25">
      <c r="A123" s="4" t="s">
        <v>161</v>
      </c>
      <c r="B123" s="5">
        <v>140950</v>
      </c>
      <c r="C123" s="12">
        <v>2</v>
      </c>
      <c r="D123" s="5">
        <v>70475</v>
      </c>
      <c r="E123" s="12">
        <v>1093</v>
      </c>
      <c r="F123" s="12">
        <v>157</v>
      </c>
      <c r="G123" s="12">
        <v>2</v>
      </c>
      <c r="H123" s="9">
        <v>72</v>
      </c>
      <c r="I123" s="4" t="s">
        <v>315</v>
      </c>
      <c r="J123" s="5">
        <v>28000</v>
      </c>
      <c r="L123">
        <v>1093</v>
      </c>
      <c r="O123">
        <v>140950</v>
      </c>
    </row>
    <row r="124" spans="1:15" hidden="1" x14ac:dyDescent="0.25">
      <c r="A124" s="4" t="s">
        <v>195</v>
      </c>
      <c r="B124" s="5">
        <v>99190</v>
      </c>
      <c r="C124" s="12">
        <v>1</v>
      </c>
      <c r="D124" s="5">
        <v>99190</v>
      </c>
      <c r="E124" s="12">
        <v>725</v>
      </c>
      <c r="F124" s="12">
        <v>1</v>
      </c>
      <c r="G124" s="12">
        <v>1</v>
      </c>
      <c r="H124" s="9">
        <v>64.599999999999994</v>
      </c>
      <c r="I124" s="4" t="s">
        <v>314</v>
      </c>
      <c r="J124" s="5">
        <v>99000</v>
      </c>
      <c r="L124">
        <v>725</v>
      </c>
      <c r="N124">
        <v>99190</v>
      </c>
    </row>
    <row r="125" spans="1:15" hidden="1" x14ac:dyDescent="0.25">
      <c r="A125" s="4" t="s">
        <v>137</v>
      </c>
      <c r="B125" s="5">
        <v>84762</v>
      </c>
      <c r="C125" s="12">
        <v>1</v>
      </c>
      <c r="D125" s="5">
        <v>84762</v>
      </c>
      <c r="E125" s="12">
        <v>173</v>
      </c>
      <c r="F125" s="12">
        <v>1</v>
      </c>
      <c r="G125" s="12">
        <v>1</v>
      </c>
      <c r="H125" s="9">
        <v>50</v>
      </c>
      <c r="I125" s="4" t="s">
        <v>314</v>
      </c>
      <c r="J125" s="5">
        <v>85000</v>
      </c>
      <c r="L125">
        <v>173</v>
      </c>
      <c r="N125">
        <v>84762</v>
      </c>
    </row>
    <row r="126" spans="1:15" x14ac:dyDescent="0.25">
      <c r="A126" s="4" t="s">
        <v>184</v>
      </c>
      <c r="B126" s="5">
        <v>78208</v>
      </c>
      <c r="C126" s="12">
        <v>1</v>
      </c>
      <c r="D126" s="5">
        <v>78208</v>
      </c>
      <c r="E126" s="12">
        <v>862</v>
      </c>
      <c r="F126" s="12">
        <v>1</v>
      </c>
      <c r="G126" s="12">
        <v>1</v>
      </c>
      <c r="H126" s="9">
        <v>68.2</v>
      </c>
      <c r="I126" s="4" t="s">
        <v>315</v>
      </c>
      <c r="J126" s="5">
        <v>31000</v>
      </c>
      <c r="L126">
        <v>862</v>
      </c>
      <c r="O126">
        <v>78208</v>
      </c>
    </row>
    <row r="127" spans="1:15" x14ac:dyDescent="0.25">
      <c r="A127" s="4" t="s">
        <v>82</v>
      </c>
      <c r="B127" s="5">
        <v>72381</v>
      </c>
      <c r="C127" s="12">
        <v>1</v>
      </c>
      <c r="D127" s="5">
        <v>72381</v>
      </c>
      <c r="E127" s="12">
        <v>899</v>
      </c>
      <c r="F127" s="12">
        <v>1</v>
      </c>
      <c r="G127" s="12">
        <v>1</v>
      </c>
      <c r="H127" s="9">
        <v>69.099999999999994</v>
      </c>
      <c r="I127" s="4" t="s">
        <v>315</v>
      </c>
      <c r="J127" s="5">
        <v>29000</v>
      </c>
      <c r="L127">
        <v>899</v>
      </c>
      <c r="O127">
        <v>72381</v>
      </c>
    </row>
    <row r="128" spans="1:15" hidden="1" x14ac:dyDescent="0.25">
      <c r="A128" s="4" t="s">
        <v>211</v>
      </c>
      <c r="B128" s="5">
        <v>71428</v>
      </c>
      <c r="C128" s="12">
        <v>1</v>
      </c>
      <c r="D128" s="5">
        <v>71428</v>
      </c>
      <c r="E128" s="12">
        <v>403</v>
      </c>
      <c r="F128" s="12">
        <v>1</v>
      </c>
      <c r="G128" s="12">
        <v>1</v>
      </c>
      <c r="H128" s="9">
        <v>56</v>
      </c>
      <c r="I128" s="4" t="s">
        <v>314</v>
      </c>
      <c r="J128" s="5">
        <v>71000</v>
      </c>
      <c r="L128">
        <v>403</v>
      </c>
      <c r="N128">
        <v>71428</v>
      </c>
    </row>
    <row r="129" spans="1:15" hidden="1" x14ac:dyDescent="0.25">
      <c r="A129" s="4" t="s">
        <v>134</v>
      </c>
      <c r="B129" s="5">
        <v>70950</v>
      </c>
      <c r="C129" s="12">
        <v>1</v>
      </c>
      <c r="D129" s="5">
        <v>70950</v>
      </c>
      <c r="E129" s="12">
        <v>234</v>
      </c>
      <c r="F129" s="12">
        <v>1</v>
      </c>
      <c r="G129" s="12">
        <v>1</v>
      </c>
      <c r="H129" s="9">
        <v>51.5</v>
      </c>
      <c r="I129" s="4" t="s">
        <v>314</v>
      </c>
      <c r="J129" s="5">
        <v>71000</v>
      </c>
      <c r="L129">
        <v>234</v>
      </c>
      <c r="N129">
        <v>70950</v>
      </c>
    </row>
    <row r="130" spans="1:15" hidden="1" x14ac:dyDescent="0.25">
      <c r="A130" s="4" t="s">
        <v>101</v>
      </c>
      <c r="B130" s="5">
        <v>23430</v>
      </c>
      <c r="C130" s="12">
        <v>1</v>
      </c>
      <c r="D130" s="5">
        <v>23430</v>
      </c>
      <c r="E130" s="12">
        <v>481</v>
      </c>
      <c r="F130" s="12">
        <v>1</v>
      </c>
      <c r="G130" s="12">
        <v>1</v>
      </c>
      <c r="H130" s="9">
        <v>57.8</v>
      </c>
      <c r="I130" s="4" t="s">
        <v>314</v>
      </c>
      <c r="J130" s="5">
        <v>23000</v>
      </c>
      <c r="L130">
        <v>481</v>
      </c>
      <c r="N130">
        <v>23430</v>
      </c>
    </row>
    <row r="131" spans="1:15" hidden="1" x14ac:dyDescent="0.25">
      <c r="A131" s="4" t="s">
        <v>92</v>
      </c>
      <c r="B131" s="5">
        <v>22857</v>
      </c>
      <c r="C131" s="12">
        <v>1</v>
      </c>
      <c r="D131" s="5">
        <v>22857</v>
      </c>
      <c r="E131" s="12">
        <v>684</v>
      </c>
      <c r="F131" s="12">
        <v>1</v>
      </c>
      <c r="G131" s="12">
        <v>1</v>
      </c>
      <c r="H131" s="9">
        <v>63.2</v>
      </c>
      <c r="I131" s="4" t="s">
        <v>314</v>
      </c>
      <c r="J131" s="5">
        <v>23000</v>
      </c>
      <c r="L131">
        <v>684</v>
      </c>
      <c r="N131">
        <v>22857</v>
      </c>
    </row>
    <row r="132" spans="1:15" hidden="1" x14ac:dyDescent="0.25">
      <c r="A132" s="4" t="s">
        <v>192</v>
      </c>
      <c r="B132" s="5">
        <v>14286</v>
      </c>
      <c r="C132" s="12">
        <v>1</v>
      </c>
      <c r="D132" s="5">
        <v>14286</v>
      </c>
      <c r="E132" s="12">
        <v>794</v>
      </c>
      <c r="F132" s="12">
        <v>1</v>
      </c>
      <c r="G132" s="12">
        <v>1</v>
      </c>
      <c r="H132" s="9">
        <v>66</v>
      </c>
      <c r="I132" s="4" t="s">
        <v>314</v>
      </c>
      <c r="J132" s="5">
        <v>14000</v>
      </c>
      <c r="L132">
        <v>794</v>
      </c>
      <c r="N132">
        <v>14286</v>
      </c>
    </row>
    <row r="133" spans="1:15" x14ac:dyDescent="0.25">
      <c r="A133" s="4" t="s">
        <v>79</v>
      </c>
      <c r="B133" s="5">
        <v>13462</v>
      </c>
      <c r="C133" s="12">
        <v>1</v>
      </c>
      <c r="D133" s="5">
        <v>13462</v>
      </c>
      <c r="E133" s="12">
        <v>912</v>
      </c>
      <c r="F133" s="12">
        <v>1</v>
      </c>
      <c r="G133" s="12">
        <v>1</v>
      </c>
      <c r="H133" s="9">
        <v>69.2</v>
      </c>
      <c r="I133" s="4" t="s">
        <v>315</v>
      </c>
      <c r="J133" s="5">
        <v>5000</v>
      </c>
      <c r="L133">
        <v>912</v>
      </c>
      <c r="O133">
        <v>13462</v>
      </c>
    </row>
    <row r="134" spans="1:15" hidden="1" x14ac:dyDescent="0.25">
      <c r="A134" s="4" t="s">
        <v>196</v>
      </c>
      <c r="B134" s="5">
        <v>10476</v>
      </c>
      <c r="C134" s="12">
        <v>1</v>
      </c>
      <c r="D134" s="5">
        <v>10476</v>
      </c>
      <c r="E134" s="12">
        <v>713</v>
      </c>
      <c r="F134" s="12">
        <v>1</v>
      </c>
      <c r="G134" s="12">
        <v>1</v>
      </c>
      <c r="H134" s="9">
        <v>63.9</v>
      </c>
      <c r="I134" s="4" t="s">
        <v>314</v>
      </c>
      <c r="J134" s="5">
        <v>10000</v>
      </c>
      <c r="L134">
        <v>713</v>
      </c>
      <c r="N134">
        <v>10476</v>
      </c>
    </row>
    <row r="155" spans="12:18" x14ac:dyDescent="0.25">
      <c r="L155" s="3" t="s">
        <v>316</v>
      </c>
      <c r="M155" s="3" t="s">
        <v>317</v>
      </c>
      <c r="N155" s="3" t="s">
        <v>318</v>
      </c>
      <c r="Q155" s="3" t="s">
        <v>319</v>
      </c>
      <c r="R155" s="3" t="s">
        <v>320</v>
      </c>
    </row>
    <row r="156" spans="12:18" x14ac:dyDescent="0.25">
      <c r="L156" s="4" t="s">
        <v>313</v>
      </c>
      <c r="M156" s="12">
        <v>7</v>
      </c>
      <c r="N156" s="5">
        <v>14125000</v>
      </c>
      <c r="Q156">
        <v>0</v>
      </c>
      <c r="R156">
        <v>0</v>
      </c>
    </row>
    <row r="157" spans="12:18" x14ac:dyDescent="0.25">
      <c r="L157" s="4" t="s">
        <v>314</v>
      </c>
      <c r="M157" s="12">
        <v>90</v>
      </c>
      <c r="N157" s="5">
        <v>44005000</v>
      </c>
      <c r="Q157">
        <v>0</v>
      </c>
      <c r="R157">
        <v>4.7600000000000003E-2</v>
      </c>
    </row>
    <row r="158" spans="12:18" x14ac:dyDescent="0.25">
      <c r="L158" s="4" t="s">
        <v>315</v>
      </c>
      <c r="M158" s="12">
        <v>33</v>
      </c>
      <c r="N158" s="5">
        <v>8961000</v>
      </c>
      <c r="Q158">
        <v>0</v>
      </c>
      <c r="R158">
        <v>0.85709999999999997</v>
      </c>
    </row>
    <row r="159" spans="12:18" x14ac:dyDescent="0.25">
      <c r="Q159">
        <v>5.5599999999999997E-2</v>
      </c>
      <c r="R159">
        <v>0.85709999999999997</v>
      </c>
    </row>
    <row r="160" spans="12:18" x14ac:dyDescent="0.25">
      <c r="Q160">
        <v>5.5599999999999997E-2</v>
      </c>
      <c r="R160">
        <v>0.90480000000000005</v>
      </c>
    </row>
    <row r="161" spans="17:18" x14ac:dyDescent="0.25">
      <c r="Q161">
        <v>0.22220000000000001</v>
      </c>
      <c r="R161">
        <v>0.90480000000000005</v>
      </c>
    </row>
    <row r="162" spans="17:18" x14ac:dyDescent="0.25">
      <c r="Q162">
        <v>0.22220000000000001</v>
      </c>
      <c r="R162">
        <v>0.95240000000000002</v>
      </c>
    </row>
    <row r="163" spans="17:18" x14ac:dyDescent="0.25">
      <c r="Q163">
        <v>0.55559999999999998</v>
      </c>
      <c r="R163">
        <v>0.95240000000000002</v>
      </c>
    </row>
    <row r="164" spans="17:18" x14ac:dyDescent="0.25">
      <c r="Q164">
        <v>0.55559999999999998</v>
      </c>
      <c r="R164">
        <v>1</v>
      </c>
    </row>
    <row r="165" spans="17:18" x14ac:dyDescent="0.25">
      <c r="Q165">
        <v>1</v>
      </c>
      <c r="R165">
        <v>1</v>
      </c>
    </row>
    <row r="167" spans="17:18" x14ac:dyDescent="0.25">
      <c r="Q167" s="3" t="s">
        <v>321</v>
      </c>
      <c r="R167" s="3" t="s">
        <v>322</v>
      </c>
    </row>
    <row r="168" spans="17:18" x14ac:dyDescent="0.25">
      <c r="Q168" t="s">
        <v>323</v>
      </c>
      <c r="R168">
        <v>1.7000000000000001E-2</v>
      </c>
    </row>
    <row r="169" spans="17:18" x14ac:dyDescent="0.25">
      <c r="Q169" t="s">
        <v>324</v>
      </c>
      <c r="R169">
        <v>-0.77500000000000002</v>
      </c>
    </row>
    <row r="170" spans="17:18" x14ac:dyDescent="0.25">
      <c r="Q170" t="s">
        <v>325</v>
      </c>
      <c r="R170">
        <v>0.52900000000000003</v>
      </c>
    </row>
    <row r="171" spans="17:18" x14ac:dyDescent="0.25">
      <c r="Q171" t="s">
        <v>326</v>
      </c>
      <c r="R171">
        <v>1.573</v>
      </c>
    </row>
    <row r="172" spans="17:18" x14ac:dyDescent="0.25">
      <c r="Q172" t="s">
        <v>327</v>
      </c>
      <c r="R172">
        <v>-1.1419999999999999</v>
      </c>
    </row>
    <row r="173" spans="17:18" x14ac:dyDescent="0.25">
      <c r="Q173" t="s">
        <v>328</v>
      </c>
      <c r="R173">
        <v>-1.004</v>
      </c>
    </row>
  </sheetData>
  <autoFilter ref="A4:J134" xr:uid="{00000000-0001-0000-0900-000000000000}">
    <filterColumn colId="8">
      <filters>
        <filter val="High"/>
      </filters>
    </filterColumn>
  </autoFilter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9" customWidth="1"/>
    <col min="3" max="3" width="18" customWidth="1"/>
  </cols>
  <sheetData>
    <row r="1" spans="1:3" ht="18" x14ac:dyDescent="0.25">
      <c r="A1" s="1" t="s">
        <v>329</v>
      </c>
    </row>
    <row r="3" spans="1:3" x14ac:dyDescent="0.25">
      <c r="A3" s="3" t="s">
        <v>316</v>
      </c>
      <c r="B3" s="3" t="s">
        <v>317</v>
      </c>
      <c r="C3" s="3" t="s">
        <v>330</v>
      </c>
    </row>
    <row r="4" spans="1:3" x14ac:dyDescent="0.25">
      <c r="A4" s="4" t="s">
        <v>313</v>
      </c>
      <c r="B4" s="12">
        <v>7</v>
      </c>
      <c r="C4" s="5">
        <v>14125000</v>
      </c>
    </row>
    <row r="5" spans="1:3" x14ac:dyDescent="0.25">
      <c r="A5" s="4" t="s">
        <v>314</v>
      </c>
      <c r="B5" s="12">
        <v>90</v>
      </c>
      <c r="C5" s="5">
        <v>44005000</v>
      </c>
    </row>
    <row r="6" spans="1:3" x14ac:dyDescent="0.25">
      <c r="A6" s="4" t="s">
        <v>315</v>
      </c>
      <c r="B6" s="12">
        <v>33</v>
      </c>
      <c r="C6" s="5">
        <v>8961000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855"/>
  <sheetViews>
    <sheetView zoomScaleNormal="100" workbookViewId="0"/>
  </sheetViews>
  <sheetFormatPr defaultColWidth="8.7109375" defaultRowHeight="15" x14ac:dyDescent="0.25"/>
  <cols>
    <col min="1" max="1" width="12" customWidth="1"/>
    <col min="2" max="2" width="9" customWidth="1"/>
    <col min="3" max="3" width="8" customWidth="1"/>
    <col min="4" max="4" width="7" customWidth="1"/>
    <col min="5" max="5" width="24" customWidth="1"/>
    <col min="6" max="6" width="13" customWidth="1"/>
    <col min="7" max="7" width="7" customWidth="1"/>
    <col min="8" max="8" width="15" customWidth="1"/>
  </cols>
  <sheetData>
    <row r="1" spans="1:15" ht="18" x14ac:dyDescent="0.25">
      <c r="A1" s="1" t="s">
        <v>331</v>
      </c>
    </row>
    <row r="3" spans="1:15" x14ac:dyDescent="0.25">
      <c r="A3" s="6" t="s">
        <v>332</v>
      </c>
    </row>
    <row r="5" spans="1:15" x14ac:dyDescent="0.25">
      <c r="A5" s="3" t="s">
        <v>19</v>
      </c>
      <c r="B5" s="3" t="s">
        <v>16</v>
      </c>
      <c r="C5" s="3" t="s">
        <v>17</v>
      </c>
      <c r="D5" s="3" t="s">
        <v>18</v>
      </c>
      <c r="E5" s="3" t="s">
        <v>333</v>
      </c>
      <c r="F5" s="3" t="s">
        <v>21</v>
      </c>
      <c r="G5" s="3" t="s">
        <v>334</v>
      </c>
      <c r="H5" s="3" t="s">
        <v>335</v>
      </c>
      <c r="J5" s="3" t="s">
        <v>336</v>
      </c>
      <c r="K5" s="3" t="s">
        <v>337</v>
      </c>
      <c r="L5" s="3" t="s">
        <v>338</v>
      </c>
      <c r="N5" s="3" t="s">
        <v>339</v>
      </c>
      <c r="O5" s="3" t="s">
        <v>340</v>
      </c>
    </row>
    <row r="6" spans="1:15" x14ac:dyDescent="0.25">
      <c r="A6" s="4" t="s">
        <v>341</v>
      </c>
      <c r="B6" s="4" t="s">
        <v>150</v>
      </c>
      <c r="C6" s="4" t="s">
        <v>29</v>
      </c>
      <c r="D6" s="4" t="s">
        <v>30</v>
      </c>
      <c r="E6" s="4" t="s">
        <v>163</v>
      </c>
      <c r="F6" s="5">
        <v>1907</v>
      </c>
      <c r="G6" s="4">
        <v>-0.92</v>
      </c>
      <c r="H6" s="4" t="s">
        <v>342</v>
      </c>
      <c r="J6">
        <v>1</v>
      </c>
      <c r="K6">
        <v>1718080</v>
      </c>
      <c r="N6" t="s">
        <v>343</v>
      </c>
      <c r="O6">
        <v>4.1000000000000002E-2</v>
      </c>
    </row>
    <row r="7" spans="1:15" x14ac:dyDescent="0.25">
      <c r="A7" s="4" t="s">
        <v>344</v>
      </c>
      <c r="B7" s="4" t="s">
        <v>23</v>
      </c>
      <c r="C7" s="4" t="s">
        <v>29</v>
      </c>
      <c r="D7" s="4" t="s">
        <v>30</v>
      </c>
      <c r="E7" s="4" t="s">
        <v>345</v>
      </c>
      <c r="F7" s="5">
        <v>20861</v>
      </c>
      <c r="G7" s="4">
        <v>-1.03</v>
      </c>
      <c r="H7" s="4" t="s">
        <v>342</v>
      </c>
      <c r="J7">
        <v>2</v>
      </c>
      <c r="K7">
        <v>1771500</v>
      </c>
      <c r="N7" t="s">
        <v>346</v>
      </c>
      <c r="O7">
        <v>0.122</v>
      </c>
    </row>
    <row r="8" spans="1:15" x14ac:dyDescent="0.25">
      <c r="A8" s="4" t="s">
        <v>347</v>
      </c>
      <c r="B8" s="4" t="s">
        <v>150</v>
      </c>
      <c r="C8" s="4" t="s">
        <v>29</v>
      </c>
      <c r="D8" s="4" t="s">
        <v>30</v>
      </c>
      <c r="E8" s="4" t="s">
        <v>345</v>
      </c>
      <c r="F8" s="5">
        <v>3035</v>
      </c>
      <c r="G8" s="4">
        <v>-0.91</v>
      </c>
      <c r="H8" s="4" t="s">
        <v>342</v>
      </c>
      <c r="J8">
        <v>3</v>
      </c>
      <c r="K8">
        <v>251448</v>
      </c>
      <c r="N8" t="s">
        <v>348</v>
      </c>
      <c r="O8">
        <v>3.7999999999999999E-2</v>
      </c>
    </row>
    <row r="9" spans="1:15" x14ac:dyDescent="0.25">
      <c r="A9" s="4" t="s">
        <v>349</v>
      </c>
      <c r="B9" s="4" t="s">
        <v>150</v>
      </c>
      <c r="C9" s="4" t="s">
        <v>29</v>
      </c>
      <c r="D9" s="4" t="s">
        <v>30</v>
      </c>
      <c r="E9" s="4" t="s">
        <v>167</v>
      </c>
      <c r="F9" s="5">
        <v>10000</v>
      </c>
      <c r="G9" s="4">
        <v>-0.91</v>
      </c>
      <c r="H9" s="4" t="s">
        <v>342</v>
      </c>
      <c r="J9">
        <v>4</v>
      </c>
      <c r="K9">
        <v>285600</v>
      </c>
      <c r="N9" t="s">
        <v>350</v>
      </c>
      <c r="O9">
        <v>0.13900000000000001</v>
      </c>
    </row>
    <row r="10" spans="1:15" x14ac:dyDescent="0.25">
      <c r="A10" s="4" t="s">
        <v>351</v>
      </c>
      <c r="B10" s="4" t="s">
        <v>150</v>
      </c>
      <c r="C10" s="4" t="s">
        <v>29</v>
      </c>
      <c r="D10" s="4" t="s">
        <v>25</v>
      </c>
      <c r="E10" s="4" t="s">
        <v>195</v>
      </c>
      <c r="F10" s="5">
        <v>43000</v>
      </c>
      <c r="G10" s="4">
        <v>-1.38</v>
      </c>
      <c r="H10" s="4" t="s">
        <v>342</v>
      </c>
      <c r="J10">
        <v>5</v>
      </c>
      <c r="K10">
        <v>285714</v>
      </c>
      <c r="N10" t="s">
        <v>352</v>
      </c>
      <c r="O10">
        <v>0.17799999999999999</v>
      </c>
    </row>
    <row r="11" spans="1:15" x14ac:dyDescent="0.25">
      <c r="A11" s="4" t="s">
        <v>353</v>
      </c>
      <c r="B11" s="4" t="s">
        <v>150</v>
      </c>
      <c r="C11" s="4" t="s">
        <v>29</v>
      </c>
      <c r="D11" s="4" t="s">
        <v>25</v>
      </c>
      <c r="E11" s="4" t="s">
        <v>71</v>
      </c>
      <c r="F11" s="5">
        <v>47619</v>
      </c>
      <c r="G11" s="4">
        <v>-1.37</v>
      </c>
      <c r="H11" s="4" t="s">
        <v>342</v>
      </c>
      <c r="J11">
        <v>6</v>
      </c>
      <c r="K11">
        <v>459050</v>
      </c>
      <c r="N11" t="s">
        <v>354</v>
      </c>
      <c r="O11">
        <v>0.32800000000000001</v>
      </c>
    </row>
    <row r="12" spans="1:15" x14ac:dyDescent="0.25">
      <c r="A12" s="4" t="s">
        <v>355</v>
      </c>
      <c r="B12" s="4" t="s">
        <v>23</v>
      </c>
      <c r="C12" s="4" t="s">
        <v>29</v>
      </c>
      <c r="D12" s="4" t="s">
        <v>25</v>
      </c>
      <c r="E12" s="4" t="s">
        <v>356</v>
      </c>
      <c r="F12" s="5">
        <v>51900</v>
      </c>
      <c r="G12" s="4">
        <v>-1.2</v>
      </c>
      <c r="H12" s="4" t="s">
        <v>342</v>
      </c>
      <c r="J12">
        <v>7</v>
      </c>
      <c r="K12">
        <v>666667</v>
      </c>
      <c r="N12" t="s">
        <v>357</v>
      </c>
      <c r="O12">
        <v>4.4999999999999998E-2</v>
      </c>
    </row>
    <row r="13" spans="1:15" x14ac:dyDescent="0.25">
      <c r="A13" s="4" t="s">
        <v>358</v>
      </c>
      <c r="B13" s="4" t="s">
        <v>150</v>
      </c>
      <c r="C13" s="4" t="s">
        <v>24</v>
      </c>
      <c r="D13" s="4" t="s">
        <v>30</v>
      </c>
      <c r="E13" s="4" t="s">
        <v>359</v>
      </c>
      <c r="F13" s="5">
        <v>3021429</v>
      </c>
      <c r="G13" s="4">
        <v>2.39</v>
      </c>
      <c r="H13" s="4" t="s">
        <v>342</v>
      </c>
      <c r="J13">
        <v>8</v>
      </c>
      <c r="K13">
        <v>95240</v>
      </c>
      <c r="N13" t="s">
        <v>360</v>
      </c>
      <c r="O13">
        <v>0.27100000000000002</v>
      </c>
    </row>
    <row r="14" spans="1:15" x14ac:dyDescent="0.25">
      <c r="A14" s="4" t="s">
        <v>361</v>
      </c>
      <c r="B14" s="4" t="s">
        <v>150</v>
      </c>
      <c r="C14" s="4" t="s">
        <v>24</v>
      </c>
      <c r="D14" s="4" t="s">
        <v>25</v>
      </c>
      <c r="E14" s="4" t="s">
        <v>192</v>
      </c>
      <c r="F14" s="5">
        <v>14286</v>
      </c>
      <c r="G14" s="4">
        <v>-1.01</v>
      </c>
      <c r="H14" s="4" t="s">
        <v>342</v>
      </c>
      <c r="J14">
        <v>9</v>
      </c>
      <c r="K14">
        <v>488800</v>
      </c>
      <c r="N14" t="s">
        <v>362</v>
      </c>
      <c r="O14">
        <v>0.32800000000000001</v>
      </c>
    </row>
    <row r="15" spans="1:15" x14ac:dyDescent="0.25">
      <c r="A15" s="4" t="s">
        <v>363</v>
      </c>
      <c r="B15" s="4" t="s">
        <v>23</v>
      </c>
      <c r="C15" s="4" t="s">
        <v>29</v>
      </c>
      <c r="D15" s="4" t="s">
        <v>30</v>
      </c>
      <c r="E15" s="4" t="s">
        <v>345</v>
      </c>
      <c r="F15" s="5">
        <v>17524</v>
      </c>
      <c r="G15" s="4">
        <v>-1.03</v>
      </c>
      <c r="H15" s="4" t="s">
        <v>342</v>
      </c>
      <c r="J15">
        <v>10</v>
      </c>
      <c r="K15">
        <v>216000</v>
      </c>
      <c r="N15" t="s">
        <v>364</v>
      </c>
      <c r="O15">
        <v>0.24399999999999999</v>
      </c>
    </row>
    <row r="16" spans="1:15" x14ac:dyDescent="0.25">
      <c r="A16" s="4" t="s">
        <v>365</v>
      </c>
      <c r="B16" s="4" t="s">
        <v>150</v>
      </c>
      <c r="C16" s="4" t="s">
        <v>29</v>
      </c>
      <c r="D16" s="4" t="s">
        <v>30</v>
      </c>
      <c r="E16" s="4" t="s">
        <v>366</v>
      </c>
      <c r="F16" s="5">
        <v>14578</v>
      </c>
      <c r="G16" s="4">
        <v>-0.91</v>
      </c>
      <c r="H16" s="4" t="s">
        <v>342</v>
      </c>
      <c r="J16">
        <v>11</v>
      </c>
      <c r="K16">
        <v>380950</v>
      </c>
      <c r="N16" t="s">
        <v>367</v>
      </c>
      <c r="O16">
        <v>0.48199999999999998</v>
      </c>
    </row>
    <row r="17" spans="1:15" x14ac:dyDescent="0.25">
      <c r="A17" s="4" t="s">
        <v>368</v>
      </c>
      <c r="B17" s="4" t="s">
        <v>23</v>
      </c>
      <c r="C17" s="4" t="s">
        <v>29</v>
      </c>
      <c r="D17" s="4" t="s">
        <v>25</v>
      </c>
      <c r="E17" s="4" t="s">
        <v>113</v>
      </c>
      <c r="F17" s="5">
        <v>285714</v>
      </c>
      <c r="G17" s="4">
        <v>-0.54</v>
      </c>
      <c r="H17" s="4" t="s">
        <v>342</v>
      </c>
      <c r="J17">
        <v>12</v>
      </c>
      <c r="K17">
        <v>152381</v>
      </c>
      <c r="N17" t="s">
        <v>369</v>
      </c>
      <c r="O17">
        <v>0.157</v>
      </c>
    </row>
    <row r="18" spans="1:15" x14ac:dyDescent="0.25">
      <c r="J18">
        <v>13</v>
      </c>
      <c r="K18">
        <v>252000</v>
      </c>
      <c r="N18" t="s">
        <v>370</v>
      </c>
      <c r="O18">
        <v>8.6999999999999994E-2</v>
      </c>
    </row>
    <row r="19" spans="1:15" x14ac:dyDescent="0.25">
      <c r="J19">
        <v>14</v>
      </c>
      <c r="L19">
        <v>2275520</v>
      </c>
      <c r="N19" t="s">
        <v>371</v>
      </c>
      <c r="O19">
        <v>0.25</v>
      </c>
    </row>
    <row r="20" spans="1:15" x14ac:dyDescent="0.25">
      <c r="J20">
        <v>15</v>
      </c>
      <c r="K20">
        <v>936000</v>
      </c>
      <c r="N20" t="s">
        <v>372</v>
      </c>
      <c r="O20">
        <v>0.82299999999999995</v>
      </c>
    </row>
    <row r="21" spans="1:15" x14ac:dyDescent="0.25">
      <c r="J21">
        <v>16</v>
      </c>
      <c r="K21">
        <v>1523500</v>
      </c>
      <c r="N21" t="s">
        <v>373</v>
      </c>
      <c r="O21">
        <v>0.11899999999999999</v>
      </c>
    </row>
    <row r="22" spans="1:15" x14ac:dyDescent="0.25">
      <c r="J22">
        <v>17</v>
      </c>
      <c r="K22">
        <v>205500</v>
      </c>
      <c r="N22" t="s">
        <v>374</v>
      </c>
      <c r="O22">
        <v>0.182</v>
      </c>
    </row>
    <row r="23" spans="1:15" x14ac:dyDescent="0.25">
      <c r="J23">
        <v>18</v>
      </c>
      <c r="K23">
        <v>1580950</v>
      </c>
      <c r="N23" t="s">
        <v>375</v>
      </c>
      <c r="O23">
        <v>0.51</v>
      </c>
    </row>
    <row r="24" spans="1:15" x14ac:dyDescent="0.25">
      <c r="J24">
        <v>19</v>
      </c>
      <c r="K24">
        <v>1092000</v>
      </c>
      <c r="N24" t="s">
        <v>376</v>
      </c>
      <c r="O24">
        <v>0.312</v>
      </c>
    </row>
    <row r="25" spans="1:15" x14ac:dyDescent="0.25">
      <c r="J25">
        <v>20</v>
      </c>
      <c r="K25">
        <v>2142857</v>
      </c>
      <c r="N25" t="s">
        <v>377</v>
      </c>
      <c r="O25">
        <v>0.17899999999999999</v>
      </c>
    </row>
    <row r="26" spans="1:15" x14ac:dyDescent="0.25">
      <c r="J26">
        <v>21</v>
      </c>
      <c r="K26">
        <v>423810</v>
      </c>
      <c r="N26" t="s">
        <v>378</v>
      </c>
      <c r="O26">
        <v>0.371</v>
      </c>
    </row>
    <row r="27" spans="1:15" x14ac:dyDescent="0.25">
      <c r="J27">
        <v>22</v>
      </c>
      <c r="K27">
        <v>238096</v>
      </c>
      <c r="N27" t="s">
        <v>379</v>
      </c>
      <c r="O27">
        <v>0.11600000000000001</v>
      </c>
    </row>
    <row r="28" spans="1:15" x14ac:dyDescent="0.25">
      <c r="J28">
        <v>23</v>
      </c>
      <c r="K28">
        <v>952381</v>
      </c>
      <c r="N28" t="s">
        <v>380</v>
      </c>
      <c r="O28">
        <v>0.24</v>
      </c>
    </row>
    <row r="29" spans="1:15" x14ac:dyDescent="0.25">
      <c r="J29">
        <v>24</v>
      </c>
      <c r="K29">
        <v>285715</v>
      </c>
      <c r="N29" t="s">
        <v>381</v>
      </c>
      <c r="O29">
        <v>0.19600000000000001</v>
      </c>
    </row>
    <row r="30" spans="1:15" x14ac:dyDescent="0.25">
      <c r="J30">
        <v>25</v>
      </c>
      <c r="K30">
        <v>481219</v>
      </c>
      <c r="N30" t="s">
        <v>382</v>
      </c>
      <c r="O30">
        <v>9.1999999999999998E-2</v>
      </c>
    </row>
    <row r="31" spans="1:15" x14ac:dyDescent="0.25">
      <c r="J31">
        <v>26</v>
      </c>
      <c r="K31">
        <v>131690</v>
      </c>
      <c r="N31" t="s">
        <v>383</v>
      </c>
      <c r="O31">
        <v>0.106</v>
      </c>
    </row>
    <row r="32" spans="1:15" x14ac:dyDescent="0.25">
      <c r="J32">
        <v>27</v>
      </c>
      <c r="K32">
        <v>952340</v>
      </c>
      <c r="N32" t="s">
        <v>384</v>
      </c>
      <c r="O32">
        <v>0.35599999999999998</v>
      </c>
    </row>
    <row r="33" spans="10:15" x14ac:dyDescent="0.25">
      <c r="J33">
        <v>28</v>
      </c>
      <c r="K33">
        <v>1169500</v>
      </c>
      <c r="N33" t="s">
        <v>385</v>
      </c>
      <c r="O33">
        <v>1.2999999999999999E-2</v>
      </c>
    </row>
    <row r="34" spans="10:15" x14ac:dyDescent="0.25">
      <c r="J34">
        <v>29</v>
      </c>
      <c r="K34">
        <v>243628</v>
      </c>
      <c r="N34" t="s">
        <v>386</v>
      </c>
      <c r="O34">
        <v>0.247</v>
      </c>
    </row>
    <row r="35" spans="10:15" x14ac:dyDescent="0.25">
      <c r="J35">
        <v>30</v>
      </c>
      <c r="K35">
        <v>526073</v>
      </c>
      <c r="N35" t="s">
        <v>387</v>
      </c>
      <c r="O35">
        <v>0.18099999999999999</v>
      </c>
    </row>
    <row r="36" spans="10:15" x14ac:dyDescent="0.25">
      <c r="J36">
        <v>31</v>
      </c>
      <c r="K36">
        <v>302860</v>
      </c>
      <c r="N36" t="s">
        <v>388</v>
      </c>
      <c r="O36">
        <v>0.17699999999999999</v>
      </c>
    </row>
    <row r="37" spans="10:15" x14ac:dyDescent="0.25">
      <c r="J37">
        <v>32</v>
      </c>
      <c r="K37">
        <v>980712</v>
      </c>
      <c r="N37" t="s">
        <v>389</v>
      </c>
      <c r="O37">
        <v>0.22900000000000001</v>
      </c>
    </row>
    <row r="38" spans="10:15" x14ac:dyDescent="0.25">
      <c r="J38">
        <v>33</v>
      </c>
      <c r="K38">
        <v>910585</v>
      </c>
      <c r="N38" t="s">
        <v>390</v>
      </c>
      <c r="O38">
        <v>1.4339999999999999</v>
      </c>
    </row>
    <row r="39" spans="10:15" x14ac:dyDescent="0.25">
      <c r="J39">
        <v>34</v>
      </c>
      <c r="K39">
        <v>892778</v>
      </c>
      <c r="N39" t="s">
        <v>391</v>
      </c>
      <c r="O39">
        <v>0.24099999999999999</v>
      </c>
    </row>
    <row r="40" spans="10:15" x14ac:dyDescent="0.25">
      <c r="J40">
        <v>35</v>
      </c>
      <c r="K40">
        <v>223528</v>
      </c>
      <c r="N40" t="s">
        <v>392</v>
      </c>
      <c r="O40">
        <v>0.161</v>
      </c>
    </row>
    <row r="41" spans="10:15" x14ac:dyDescent="0.25">
      <c r="J41">
        <v>36</v>
      </c>
      <c r="K41">
        <v>296570</v>
      </c>
      <c r="N41" t="s">
        <v>393</v>
      </c>
      <c r="O41">
        <v>0.18099999999999999</v>
      </c>
    </row>
    <row r="42" spans="10:15" x14ac:dyDescent="0.25">
      <c r="J42">
        <v>37</v>
      </c>
      <c r="K42">
        <v>119040</v>
      </c>
      <c r="N42" t="s">
        <v>394</v>
      </c>
      <c r="O42">
        <v>0.16600000000000001</v>
      </c>
    </row>
    <row r="43" spans="10:15" x14ac:dyDescent="0.25">
      <c r="J43">
        <v>38</v>
      </c>
      <c r="K43">
        <v>878303</v>
      </c>
      <c r="N43" t="s">
        <v>395</v>
      </c>
      <c r="O43">
        <v>0.27900000000000003</v>
      </c>
    </row>
    <row r="44" spans="10:15" x14ac:dyDescent="0.25">
      <c r="J44">
        <v>39</v>
      </c>
      <c r="K44">
        <v>123810</v>
      </c>
      <c r="N44" t="s">
        <v>396</v>
      </c>
      <c r="O44">
        <v>0.21299999999999999</v>
      </c>
    </row>
    <row r="45" spans="10:15" x14ac:dyDescent="0.25">
      <c r="J45">
        <v>40</v>
      </c>
      <c r="K45">
        <v>958686</v>
      </c>
      <c r="N45" t="s">
        <v>397</v>
      </c>
      <c r="O45">
        <v>0.32900000000000001</v>
      </c>
    </row>
    <row r="46" spans="10:15" x14ac:dyDescent="0.25">
      <c r="J46">
        <v>41</v>
      </c>
      <c r="K46">
        <v>159000</v>
      </c>
      <c r="N46" t="s">
        <v>398</v>
      </c>
      <c r="O46">
        <v>0.38100000000000001</v>
      </c>
    </row>
    <row r="47" spans="10:15" x14ac:dyDescent="0.25">
      <c r="J47">
        <v>42</v>
      </c>
      <c r="K47">
        <v>104000</v>
      </c>
      <c r="N47" t="s">
        <v>399</v>
      </c>
      <c r="O47">
        <v>0.57399999999999995</v>
      </c>
    </row>
    <row r="48" spans="10:15" x14ac:dyDescent="0.25">
      <c r="J48">
        <v>43</v>
      </c>
      <c r="K48">
        <v>540652</v>
      </c>
      <c r="N48" t="s">
        <v>400</v>
      </c>
      <c r="O48">
        <v>1.0640000000000001</v>
      </c>
    </row>
    <row r="49" spans="10:15" x14ac:dyDescent="0.25">
      <c r="J49">
        <v>44</v>
      </c>
      <c r="K49">
        <v>695668</v>
      </c>
      <c r="N49" t="s">
        <v>401</v>
      </c>
      <c r="O49">
        <v>0.187</v>
      </c>
    </row>
    <row r="50" spans="10:15" x14ac:dyDescent="0.25">
      <c r="J50">
        <v>45</v>
      </c>
      <c r="K50">
        <v>235144</v>
      </c>
      <c r="N50" t="s">
        <v>402</v>
      </c>
      <c r="O50">
        <v>0.03</v>
      </c>
    </row>
    <row r="51" spans="10:15" x14ac:dyDescent="0.25">
      <c r="J51">
        <v>46</v>
      </c>
      <c r="K51">
        <v>306890</v>
      </c>
    </row>
    <row r="52" spans="10:15" x14ac:dyDescent="0.25">
      <c r="J52">
        <v>47</v>
      </c>
      <c r="K52">
        <v>918134</v>
      </c>
    </row>
    <row r="53" spans="10:15" x14ac:dyDescent="0.25">
      <c r="J53">
        <v>48</v>
      </c>
      <c r="K53">
        <v>904482</v>
      </c>
    </row>
    <row r="54" spans="10:15" x14ac:dyDescent="0.25">
      <c r="J54">
        <v>49</v>
      </c>
      <c r="K54">
        <v>269331</v>
      </c>
    </row>
    <row r="55" spans="10:15" x14ac:dyDescent="0.25">
      <c r="J55">
        <v>50</v>
      </c>
      <c r="K55">
        <v>885772</v>
      </c>
    </row>
    <row r="56" spans="10:15" x14ac:dyDescent="0.25">
      <c r="J56">
        <v>51</v>
      </c>
      <c r="K56">
        <v>109000</v>
      </c>
    </row>
    <row r="57" spans="10:15" x14ac:dyDescent="0.25">
      <c r="J57">
        <v>52</v>
      </c>
      <c r="K57">
        <v>172380</v>
      </c>
    </row>
    <row r="58" spans="10:15" x14ac:dyDescent="0.25">
      <c r="J58">
        <v>53</v>
      </c>
      <c r="K58">
        <v>360038</v>
      </c>
    </row>
    <row r="59" spans="10:15" x14ac:dyDescent="0.25">
      <c r="J59">
        <v>54</v>
      </c>
      <c r="K59">
        <v>877606</v>
      </c>
    </row>
    <row r="60" spans="10:15" x14ac:dyDescent="0.25">
      <c r="J60">
        <v>55</v>
      </c>
      <c r="K60">
        <v>117047</v>
      </c>
    </row>
    <row r="61" spans="10:15" x14ac:dyDescent="0.25">
      <c r="J61">
        <v>56</v>
      </c>
      <c r="K61">
        <v>783277</v>
      </c>
    </row>
    <row r="62" spans="10:15" x14ac:dyDescent="0.25">
      <c r="J62">
        <v>57</v>
      </c>
      <c r="K62">
        <v>163296</v>
      </c>
    </row>
    <row r="63" spans="10:15" x14ac:dyDescent="0.25">
      <c r="J63">
        <v>58</v>
      </c>
      <c r="K63">
        <v>531095</v>
      </c>
    </row>
    <row r="64" spans="10:15" x14ac:dyDescent="0.25">
      <c r="J64">
        <v>59</v>
      </c>
      <c r="K64">
        <v>279334</v>
      </c>
    </row>
    <row r="65" spans="10:11" x14ac:dyDescent="0.25">
      <c r="J65">
        <v>60</v>
      </c>
      <c r="K65">
        <v>1026289</v>
      </c>
    </row>
    <row r="66" spans="10:11" x14ac:dyDescent="0.25">
      <c r="J66">
        <v>61</v>
      </c>
      <c r="K66">
        <v>163045</v>
      </c>
    </row>
    <row r="67" spans="10:11" x14ac:dyDescent="0.25">
      <c r="J67">
        <v>62</v>
      </c>
      <c r="K67">
        <v>697763</v>
      </c>
    </row>
    <row r="68" spans="10:11" x14ac:dyDescent="0.25">
      <c r="J68">
        <v>63</v>
      </c>
      <c r="K68">
        <v>660143</v>
      </c>
    </row>
    <row r="69" spans="10:11" x14ac:dyDescent="0.25">
      <c r="J69">
        <v>64</v>
      </c>
      <c r="K69">
        <v>491150</v>
      </c>
    </row>
    <row r="70" spans="10:11" x14ac:dyDescent="0.25">
      <c r="J70">
        <v>65</v>
      </c>
      <c r="K70">
        <v>260708</v>
      </c>
    </row>
    <row r="71" spans="10:11" x14ac:dyDescent="0.25">
      <c r="J71">
        <v>66</v>
      </c>
      <c r="K71">
        <v>958958</v>
      </c>
    </row>
    <row r="72" spans="10:11" x14ac:dyDescent="0.25">
      <c r="J72">
        <v>67</v>
      </c>
      <c r="K72">
        <v>339754</v>
      </c>
    </row>
    <row r="73" spans="10:11" x14ac:dyDescent="0.25">
      <c r="J73">
        <v>68</v>
      </c>
      <c r="K73">
        <v>664915</v>
      </c>
    </row>
    <row r="74" spans="10:11" x14ac:dyDescent="0.25">
      <c r="J74">
        <v>69</v>
      </c>
      <c r="K74">
        <v>150361</v>
      </c>
    </row>
    <row r="75" spans="10:11" x14ac:dyDescent="0.25">
      <c r="J75">
        <v>70</v>
      </c>
      <c r="K75">
        <v>121905</v>
      </c>
    </row>
    <row r="76" spans="10:11" x14ac:dyDescent="0.25">
      <c r="J76">
        <v>71</v>
      </c>
      <c r="K76">
        <v>641279</v>
      </c>
    </row>
    <row r="77" spans="10:11" x14ac:dyDescent="0.25">
      <c r="J77">
        <v>72</v>
      </c>
      <c r="K77">
        <v>786229</v>
      </c>
    </row>
    <row r="78" spans="10:11" x14ac:dyDescent="0.25">
      <c r="J78">
        <v>73</v>
      </c>
      <c r="K78">
        <v>85180</v>
      </c>
    </row>
    <row r="79" spans="10:11" x14ac:dyDescent="0.25">
      <c r="J79">
        <v>74</v>
      </c>
      <c r="K79">
        <v>48191</v>
      </c>
    </row>
    <row r="80" spans="10:11" x14ac:dyDescent="0.25">
      <c r="J80">
        <v>75</v>
      </c>
      <c r="K80">
        <v>372333</v>
      </c>
    </row>
    <row r="81" spans="10:11" x14ac:dyDescent="0.25">
      <c r="J81">
        <v>76</v>
      </c>
      <c r="K81">
        <v>395262</v>
      </c>
    </row>
    <row r="82" spans="10:11" x14ac:dyDescent="0.25">
      <c r="J82">
        <v>77</v>
      </c>
      <c r="K82">
        <v>117619</v>
      </c>
    </row>
    <row r="83" spans="10:11" x14ac:dyDescent="0.25">
      <c r="J83">
        <v>78</v>
      </c>
      <c r="K83">
        <v>332257</v>
      </c>
    </row>
    <row r="84" spans="10:11" x14ac:dyDescent="0.25">
      <c r="J84">
        <v>79</v>
      </c>
      <c r="K84">
        <v>182858</v>
      </c>
    </row>
    <row r="85" spans="10:11" x14ac:dyDescent="0.25">
      <c r="J85">
        <v>80</v>
      </c>
      <c r="K85">
        <v>880619</v>
      </c>
    </row>
    <row r="86" spans="10:11" x14ac:dyDescent="0.25">
      <c r="J86">
        <v>81</v>
      </c>
      <c r="K86">
        <v>282191</v>
      </c>
    </row>
    <row r="87" spans="10:11" x14ac:dyDescent="0.25">
      <c r="J87">
        <v>82</v>
      </c>
      <c r="K87">
        <v>168096</v>
      </c>
    </row>
    <row r="88" spans="10:11" x14ac:dyDescent="0.25">
      <c r="J88">
        <v>83</v>
      </c>
      <c r="K88">
        <v>320380</v>
      </c>
    </row>
    <row r="89" spans="10:11" x14ac:dyDescent="0.25">
      <c r="J89">
        <v>84</v>
      </c>
      <c r="K89">
        <v>616194</v>
      </c>
    </row>
    <row r="90" spans="10:11" x14ac:dyDescent="0.25">
      <c r="J90">
        <v>85</v>
      </c>
      <c r="K90">
        <v>197524</v>
      </c>
    </row>
    <row r="91" spans="10:11" x14ac:dyDescent="0.25">
      <c r="J91">
        <v>86</v>
      </c>
      <c r="K91">
        <v>152384</v>
      </c>
    </row>
    <row r="92" spans="10:11" x14ac:dyDescent="0.25">
      <c r="J92">
        <v>87</v>
      </c>
      <c r="K92">
        <v>656762</v>
      </c>
    </row>
    <row r="93" spans="10:11" x14ac:dyDescent="0.25">
      <c r="J93">
        <v>88</v>
      </c>
      <c r="K93">
        <v>225620</v>
      </c>
    </row>
    <row r="94" spans="10:11" x14ac:dyDescent="0.25">
      <c r="J94">
        <v>89</v>
      </c>
      <c r="K94">
        <v>123994</v>
      </c>
    </row>
    <row r="95" spans="10:11" x14ac:dyDescent="0.25">
      <c r="J95">
        <v>90</v>
      </c>
      <c r="K95">
        <v>1076096</v>
      </c>
    </row>
    <row r="96" spans="10:11" x14ac:dyDescent="0.25">
      <c r="J96">
        <v>91</v>
      </c>
      <c r="K96">
        <v>190480</v>
      </c>
    </row>
    <row r="97" spans="10:11" x14ac:dyDescent="0.25">
      <c r="J97">
        <v>92</v>
      </c>
      <c r="K97">
        <v>602095</v>
      </c>
    </row>
    <row r="98" spans="10:11" x14ac:dyDescent="0.25">
      <c r="J98">
        <v>93</v>
      </c>
      <c r="K98">
        <v>120248</v>
      </c>
    </row>
    <row r="99" spans="10:11" x14ac:dyDescent="0.25">
      <c r="J99">
        <v>94</v>
      </c>
      <c r="K99">
        <v>620005</v>
      </c>
    </row>
    <row r="100" spans="10:11" x14ac:dyDescent="0.25">
      <c r="J100">
        <v>95</v>
      </c>
      <c r="K100">
        <v>818292</v>
      </c>
    </row>
    <row r="101" spans="10:11" x14ac:dyDescent="0.25">
      <c r="J101">
        <v>96</v>
      </c>
      <c r="K101">
        <v>335431</v>
      </c>
    </row>
    <row r="102" spans="10:11" x14ac:dyDescent="0.25">
      <c r="J102">
        <v>97</v>
      </c>
      <c r="K102">
        <v>546672</v>
      </c>
    </row>
    <row r="103" spans="10:11" x14ac:dyDescent="0.25">
      <c r="J103">
        <v>98</v>
      </c>
      <c r="K103">
        <v>13462</v>
      </c>
    </row>
    <row r="104" spans="10:11" x14ac:dyDescent="0.25">
      <c r="J104">
        <v>99</v>
      </c>
      <c r="K104">
        <v>228572</v>
      </c>
    </row>
    <row r="105" spans="10:11" x14ac:dyDescent="0.25">
      <c r="J105">
        <v>100</v>
      </c>
      <c r="K105">
        <v>290759</v>
      </c>
    </row>
    <row r="106" spans="10:11" x14ac:dyDescent="0.25">
      <c r="J106">
        <v>101</v>
      </c>
      <c r="K106">
        <v>769566</v>
      </c>
    </row>
    <row r="107" spans="10:11" x14ac:dyDescent="0.25">
      <c r="J107">
        <v>102</v>
      </c>
      <c r="K107">
        <v>157429</v>
      </c>
    </row>
    <row r="108" spans="10:11" x14ac:dyDescent="0.25">
      <c r="J108">
        <v>103</v>
      </c>
      <c r="K108">
        <v>72381</v>
      </c>
    </row>
    <row r="109" spans="10:11" x14ac:dyDescent="0.25">
      <c r="J109">
        <v>104</v>
      </c>
      <c r="K109">
        <v>475333</v>
      </c>
    </row>
    <row r="110" spans="10:11" x14ac:dyDescent="0.25">
      <c r="J110">
        <v>105</v>
      </c>
      <c r="K110">
        <v>222812</v>
      </c>
    </row>
    <row r="111" spans="10:11" x14ac:dyDescent="0.25">
      <c r="J111">
        <v>106</v>
      </c>
      <c r="K111">
        <v>70714</v>
      </c>
    </row>
    <row r="112" spans="10:11" x14ac:dyDescent="0.25">
      <c r="J112">
        <v>107</v>
      </c>
      <c r="K112">
        <v>369864</v>
      </c>
    </row>
    <row r="113" spans="10:11" x14ac:dyDescent="0.25">
      <c r="J113">
        <v>108</v>
      </c>
      <c r="K113">
        <v>108576</v>
      </c>
    </row>
    <row r="114" spans="10:11" x14ac:dyDescent="0.25">
      <c r="J114">
        <v>109</v>
      </c>
      <c r="K114">
        <v>249524</v>
      </c>
    </row>
    <row r="115" spans="10:11" x14ac:dyDescent="0.25">
      <c r="J115">
        <v>110</v>
      </c>
      <c r="K115">
        <v>391432</v>
      </c>
    </row>
    <row r="116" spans="10:11" x14ac:dyDescent="0.25">
      <c r="J116">
        <v>111</v>
      </c>
      <c r="K116">
        <v>319902</v>
      </c>
    </row>
    <row r="117" spans="10:11" x14ac:dyDescent="0.25">
      <c r="J117">
        <v>112</v>
      </c>
      <c r="K117">
        <v>315720</v>
      </c>
    </row>
    <row r="118" spans="10:11" x14ac:dyDescent="0.25">
      <c r="J118">
        <v>113</v>
      </c>
      <c r="K118">
        <v>562857</v>
      </c>
    </row>
    <row r="119" spans="10:11" x14ac:dyDescent="0.25">
      <c r="J119">
        <v>114</v>
      </c>
      <c r="K119">
        <v>97620</v>
      </c>
    </row>
    <row r="120" spans="10:11" x14ac:dyDescent="0.25">
      <c r="J120">
        <v>115</v>
      </c>
      <c r="K120">
        <v>351048</v>
      </c>
    </row>
    <row r="121" spans="10:11" x14ac:dyDescent="0.25">
      <c r="J121">
        <v>116</v>
      </c>
      <c r="K121">
        <v>252550</v>
      </c>
    </row>
    <row r="122" spans="10:11" x14ac:dyDescent="0.25">
      <c r="J122">
        <v>117</v>
      </c>
      <c r="K122">
        <v>260940</v>
      </c>
    </row>
    <row r="123" spans="10:11" x14ac:dyDescent="0.25">
      <c r="J123">
        <v>118</v>
      </c>
      <c r="K123">
        <v>516858</v>
      </c>
    </row>
    <row r="124" spans="10:11" x14ac:dyDescent="0.25">
      <c r="J124">
        <v>119</v>
      </c>
      <c r="K124">
        <v>814281</v>
      </c>
    </row>
    <row r="125" spans="10:11" x14ac:dyDescent="0.25">
      <c r="J125">
        <v>120</v>
      </c>
      <c r="K125">
        <v>414858</v>
      </c>
    </row>
    <row r="126" spans="10:11" x14ac:dyDescent="0.25">
      <c r="J126">
        <v>121</v>
      </c>
      <c r="K126">
        <v>30000</v>
      </c>
    </row>
    <row r="127" spans="10:11" x14ac:dyDescent="0.25">
      <c r="J127">
        <v>122</v>
      </c>
      <c r="K127">
        <v>43238</v>
      </c>
    </row>
    <row r="128" spans="10:11" x14ac:dyDescent="0.25">
      <c r="J128">
        <v>123</v>
      </c>
      <c r="K128">
        <v>654758</v>
      </c>
    </row>
    <row r="129" spans="10:12" x14ac:dyDescent="0.25">
      <c r="J129">
        <v>124</v>
      </c>
      <c r="K129">
        <v>161160</v>
      </c>
    </row>
    <row r="130" spans="10:12" x14ac:dyDescent="0.25">
      <c r="J130">
        <v>125</v>
      </c>
      <c r="K130">
        <v>69524</v>
      </c>
    </row>
    <row r="131" spans="10:12" x14ac:dyDescent="0.25">
      <c r="J131">
        <v>126</v>
      </c>
      <c r="K131">
        <v>286180</v>
      </c>
    </row>
    <row r="132" spans="10:12" x14ac:dyDescent="0.25">
      <c r="J132">
        <v>127</v>
      </c>
      <c r="K132">
        <v>335715</v>
      </c>
    </row>
    <row r="133" spans="10:12" x14ac:dyDescent="0.25">
      <c r="J133">
        <v>128</v>
      </c>
      <c r="K133">
        <v>426933</v>
      </c>
    </row>
    <row r="134" spans="10:12" x14ac:dyDescent="0.25">
      <c r="J134">
        <v>129</v>
      </c>
      <c r="K134">
        <v>300387</v>
      </c>
    </row>
    <row r="135" spans="10:12" x14ac:dyDescent="0.25">
      <c r="J135">
        <v>130</v>
      </c>
      <c r="K135">
        <v>108000</v>
      </c>
    </row>
    <row r="136" spans="10:12" x14ac:dyDescent="0.25">
      <c r="J136">
        <v>131</v>
      </c>
      <c r="K136">
        <v>524714</v>
      </c>
    </row>
    <row r="137" spans="10:12" x14ac:dyDescent="0.25">
      <c r="J137">
        <v>132</v>
      </c>
      <c r="K137">
        <v>108108</v>
      </c>
    </row>
    <row r="138" spans="10:12" x14ac:dyDescent="0.25">
      <c r="J138">
        <v>133</v>
      </c>
      <c r="K138">
        <v>305958</v>
      </c>
    </row>
    <row r="139" spans="10:12" x14ac:dyDescent="0.25">
      <c r="J139">
        <v>134</v>
      </c>
      <c r="K139">
        <v>119524</v>
      </c>
    </row>
    <row r="140" spans="10:12" x14ac:dyDescent="0.25">
      <c r="J140">
        <v>135</v>
      </c>
      <c r="L140">
        <v>1426100</v>
      </c>
    </row>
    <row r="141" spans="10:12" x14ac:dyDescent="0.25">
      <c r="J141">
        <v>136</v>
      </c>
      <c r="K141">
        <v>77142</v>
      </c>
    </row>
    <row r="142" spans="10:12" x14ac:dyDescent="0.25">
      <c r="J142">
        <v>137</v>
      </c>
      <c r="K142">
        <v>108286</v>
      </c>
    </row>
    <row r="143" spans="10:12" x14ac:dyDescent="0.25">
      <c r="J143">
        <v>138</v>
      </c>
      <c r="K143">
        <v>295120</v>
      </c>
    </row>
    <row r="144" spans="10:12" x14ac:dyDescent="0.25">
      <c r="J144">
        <v>139</v>
      </c>
      <c r="K144">
        <v>362477</v>
      </c>
    </row>
    <row r="145" spans="10:11" x14ac:dyDescent="0.25">
      <c r="J145">
        <v>140</v>
      </c>
      <c r="K145">
        <v>271428</v>
      </c>
    </row>
    <row r="146" spans="10:11" x14ac:dyDescent="0.25">
      <c r="J146">
        <v>141</v>
      </c>
      <c r="K146">
        <v>334286</v>
      </c>
    </row>
    <row r="147" spans="10:11" x14ac:dyDescent="0.25">
      <c r="J147">
        <v>142</v>
      </c>
      <c r="K147">
        <v>190480</v>
      </c>
    </row>
    <row r="148" spans="10:11" x14ac:dyDescent="0.25">
      <c r="J148">
        <v>143</v>
      </c>
      <c r="K148">
        <v>831000</v>
      </c>
    </row>
    <row r="149" spans="10:11" x14ac:dyDescent="0.25">
      <c r="J149">
        <v>144</v>
      </c>
      <c r="K149">
        <v>20952</v>
      </c>
    </row>
    <row r="150" spans="10:11" x14ac:dyDescent="0.25">
      <c r="J150">
        <v>145</v>
      </c>
      <c r="K150">
        <v>22857</v>
      </c>
    </row>
    <row r="151" spans="10:11" x14ac:dyDescent="0.25">
      <c r="J151">
        <v>146</v>
      </c>
      <c r="K151">
        <v>138765</v>
      </c>
    </row>
    <row r="152" spans="10:11" x14ac:dyDescent="0.25">
      <c r="J152">
        <v>147</v>
      </c>
      <c r="K152">
        <v>239719</v>
      </c>
    </row>
    <row r="153" spans="10:11" x14ac:dyDescent="0.25">
      <c r="J153">
        <v>148</v>
      </c>
      <c r="K153">
        <v>310762</v>
      </c>
    </row>
    <row r="154" spans="10:11" x14ac:dyDescent="0.25">
      <c r="J154">
        <v>149</v>
      </c>
      <c r="K154">
        <v>330267</v>
      </c>
    </row>
    <row r="155" spans="10:11" x14ac:dyDescent="0.25">
      <c r="J155">
        <v>150</v>
      </c>
      <c r="K155">
        <v>100477</v>
      </c>
    </row>
    <row r="156" spans="10:11" x14ac:dyDescent="0.25">
      <c r="J156">
        <v>151</v>
      </c>
      <c r="K156">
        <v>626190</v>
      </c>
    </row>
    <row r="157" spans="10:11" x14ac:dyDescent="0.25">
      <c r="J157">
        <v>152</v>
      </c>
      <c r="K157">
        <v>89136</v>
      </c>
    </row>
    <row r="158" spans="10:11" x14ac:dyDescent="0.25">
      <c r="J158">
        <v>153</v>
      </c>
      <c r="K158">
        <v>155995</v>
      </c>
    </row>
    <row r="159" spans="10:11" x14ac:dyDescent="0.25">
      <c r="J159">
        <v>154</v>
      </c>
      <c r="K159">
        <v>920183</v>
      </c>
    </row>
    <row r="160" spans="10:11" x14ac:dyDescent="0.25">
      <c r="J160">
        <v>155</v>
      </c>
      <c r="K160">
        <v>140473</v>
      </c>
    </row>
    <row r="161" spans="10:11" x14ac:dyDescent="0.25">
      <c r="J161">
        <v>156</v>
      </c>
      <c r="K161">
        <v>142381</v>
      </c>
    </row>
    <row r="162" spans="10:11" x14ac:dyDescent="0.25">
      <c r="J162">
        <v>157</v>
      </c>
      <c r="K162">
        <v>116143</v>
      </c>
    </row>
    <row r="163" spans="10:11" x14ac:dyDescent="0.25">
      <c r="J163">
        <v>158</v>
      </c>
      <c r="K163">
        <v>137140</v>
      </c>
    </row>
    <row r="164" spans="10:11" x14ac:dyDescent="0.25">
      <c r="J164">
        <v>159</v>
      </c>
      <c r="K164">
        <v>178095</v>
      </c>
    </row>
    <row r="165" spans="10:11" x14ac:dyDescent="0.25">
      <c r="J165">
        <v>160</v>
      </c>
      <c r="K165">
        <v>198095</v>
      </c>
    </row>
    <row r="166" spans="10:11" x14ac:dyDescent="0.25">
      <c r="J166">
        <v>161</v>
      </c>
      <c r="K166">
        <v>295017</v>
      </c>
    </row>
    <row r="167" spans="10:11" x14ac:dyDescent="0.25">
      <c r="J167">
        <v>162</v>
      </c>
      <c r="K167">
        <v>316300</v>
      </c>
    </row>
    <row r="168" spans="10:11" x14ac:dyDescent="0.25">
      <c r="J168">
        <v>163</v>
      </c>
      <c r="K168">
        <v>1205205</v>
      </c>
    </row>
    <row r="169" spans="10:11" x14ac:dyDescent="0.25">
      <c r="J169">
        <v>164</v>
      </c>
      <c r="K169">
        <v>798600</v>
      </c>
    </row>
    <row r="170" spans="10:11" x14ac:dyDescent="0.25">
      <c r="J170">
        <v>165</v>
      </c>
      <c r="K170">
        <v>959239</v>
      </c>
    </row>
    <row r="171" spans="10:11" x14ac:dyDescent="0.25">
      <c r="J171">
        <v>166</v>
      </c>
      <c r="K171">
        <v>221143</v>
      </c>
    </row>
    <row r="172" spans="10:11" x14ac:dyDescent="0.25">
      <c r="J172">
        <v>167</v>
      </c>
      <c r="K172">
        <v>820476</v>
      </c>
    </row>
    <row r="173" spans="10:11" x14ac:dyDescent="0.25">
      <c r="J173">
        <v>168</v>
      </c>
      <c r="K173">
        <v>360000</v>
      </c>
    </row>
    <row r="174" spans="10:11" x14ac:dyDescent="0.25">
      <c r="J174">
        <v>169</v>
      </c>
      <c r="K174">
        <v>775629</v>
      </c>
    </row>
    <row r="175" spans="10:11" x14ac:dyDescent="0.25">
      <c r="J175">
        <v>170</v>
      </c>
      <c r="K175">
        <v>153333</v>
      </c>
    </row>
    <row r="176" spans="10:11" x14ac:dyDescent="0.25">
      <c r="J176">
        <v>171</v>
      </c>
      <c r="K176">
        <v>23430</v>
      </c>
    </row>
    <row r="177" spans="10:11" x14ac:dyDescent="0.25">
      <c r="J177">
        <v>172</v>
      </c>
      <c r="K177">
        <v>565740</v>
      </c>
    </row>
    <row r="178" spans="10:11" x14ac:dyDescent="0.25">
      <c r="J178">
        <v>173</v>
      </c>
      <c r="K178">
        <v>415324</v>
      </c>
    </row>
    <row r="179" spans="10:11" x14ac:dyDescent="0.25">
      <c r="J179">
        <v>174</v>
      </c>
      <c r="K179">
        <v>183325</v>
      </c>
    </row>
    <row r="180" spans="10:11" x14ac:dyDescent="0.25">
      <c r="J180">
        <v>175</v>
      </c>
      <c r="K180">
        <v>393730</v>
      </c>
    </row>
    <row r="181" spans="10:11" x14ac:dyDescent="0.25">
      <c r="J181">
        <v>176</v>
      </c>
      <c r="K181">
        <v>148580</v>
      </c>
    </row>
    <row r="182" spans="10:11" x14ac:dyDescent="0.25">
      <c r="J182">
        <v>177</v>
      </c>
      <c r="K182">
        <v>1188624</v>
      </c>
    </row>
    <row r="183" spans="10:11" x14ac:dyDescent="0.25">
      <c r="J183">
        <v>178</v>
      </c>
      <c r="K183">
        <v>758095</v>
      </c>
    </row>
    <row r="184" spans="10:11" x14ac:dyDescent="0.25">
      <c r="J184">
        <v>179</v>
      </c>
      <c r="K184">
        <v>211429</v>
      </c>
    </row>
    <row r="185" spans="10:11" x14ac:dyDescent="0.25">
      <c r="J185">
        <v>180</v>
      </c>
      <c r="K185">
        <v>208080</v>
      </c>
    </row>
    <row r="186" spans="10:11" x14ac:dyDescent="0.25">
      <c r="J186">
        <v>181</v>
      </c>
      <c r="K186">
        <v>213190</v>
      </c>
    </row>
    <row r="187" spans="10:11" x14ac:dyDescent="0.25">
      <c r="J187">
        <v>182</v>
      </c>
      <c r="K187">
        <v>88575</v>
      </c>
    </row>
    <row r="188" spans="10:11" x14ac:dyDescent="0.25">
      <c r="J188">
        <v>183</v>
      </c>
      <c r="K188">
        <v>215715</v>
      </c>
    </row>
    <row r="189" spans="10:11" x14ac:dyDescent="0.25">
      <c r="J189">
        <v>184</v>
      </c>
      <c r="K189">
        <v>290000</v>
      </c>
    </row>
    <row r="190" spans="10:11" x14ac:dyDescent="0.25">
      <c r="J190">
        <v>185</v>
      </c>
      <c r="K190">
        <v>358571</v>
      </c>
    </row>
    <row r="191" spans="10:11" x14ac:dyDescent="0.25">
      <c r="J191">
        <v>186</v>
      </c>
      <c r="K191">
        <v>540476</v>
      </c>
    </row>
    <row r="192" spans="10:11" x14ac:dyDescent="0.25">
      <c r="J192">
        <v>187</v>
      </c>
      <c r="K192">
        <v>647640</v>
      </c>
    </row>
    <row r="193" spans="10:11" x14ac:dyDescent="0.25">
      <c r="J193">
        <v>188</v>
      </c>
      <c r="K193">
        <v>151334</v>
      </c>
    </row>
    <row r="194" spans="10:11" x14ac:dyDescent="0.25">
      <c r="J194">
        <v>189</v>
      </c>
      <c r="K194">
        <v>854524</v>
      </c>
    </row>
    <row r="195" spans="10:11" x14ac:dyDescent="0.25">
      <c r="J195">
        <v>190</v>
      </c>
      <c r="K195">
        <v>217143</v>
      </c>
    </row>
    <row r="196" spans="10:11" x14ac:dyDescent="0.25">
      <c r="J196">
        <v>191</v>
      </c>
      <c r="K196">
        <v>227143</v>
      </c>
    </row>
    <row r="197" spans="10:11" x14ac:dyDescent="0.25">
      <c r="J197">
        <v>192</v>
      </c>
      <c r="K197">
        <v>511335</v>
      </c>
    </row>
    <row r="198" spans="10:11" x14ac:dyDescent="0.25">
      <c r="J198">
        <v>193</v>
      </c>
      <c r="K198">
        <v>217143</v>
      </c>
    </row>
    <row r="199" spans="10:11" x14ac:dyDescent="0.25">
      <c r="J199">
        <v>194</v>
      </c>
      <c r="K199">
        <v>142380</v>
      </c>
    </row>
    <row r="200" spans="10:11" x14ac:dyDescent="0.25">
      <c r="J200">
        <v>195</v>
      </c>
      <c r="K200">
        <v>230112</v>
      </c>
    </row>
    <row r="201" spans="10:11" x14ac:dyDescent="0.25">
      <c r="J201">
        <v>196</v>
      </c>
      <c r="K201">
        <v>389732</v>
      </c>
    </row>
    <row r="202" spans="10:11" x14ac:dyDescent="0.25">
      <c r="J202">
        <v>197</v>
      </c>
      <c r="K202">
        <v>575238</v>
      </c>
    </row>
    <row r="203" spans="10:11" x14ac:dyDescent="0.25">
      <c r="J203">
        <v>198</v>
      </c>
      <c r="K203">
        <v>67720</v>
      </c>
    </row>
    <row r="204" spans="10:11" x14ac:dyDescent="0.25">
      <c r="J204">
        <v>199</v>
      </c>
      <c r="K204">
        <v>148580</v>
      </c>
    </row>
    <row r="205" spans="10:11" x14ac:dyDescent="0.25">
      <c r="J205">
        <v>200</v>
      </c>
      <c r="K205">
        <v>380894</v>
      </c>
    </row>
    <row r="206" spans="10:11" x14ac:dyDescent="0.25">
      <c r="J206">
        <v>201</v>
      </c>
      <c r="K206">
        <v>538606</v>
      </c>
    </row>
    <row r="207" spans="10:11" x14ac:dyDescent="0.25">
      <c r="J207">
        <v>202</v>
      </c>
      <c r="K207">
        <v>222642</v>
      </c>
    </row>
    <row r="208" spans="10:11" x14ac:dyDescent="0.25">
      <c r="J208">
        <v>203</v>
      </c>
      <c r="K208">
        <v>470556</v>
      </c>
    </row>
    <row r="209" spans="10:12" x14ac:dyDescent="0.25">
      <c r="J209">
        <v>204</v>
      </c>
      <c r="K209">
        <v>316667</v>
      </c>
    </row>
    <row r="210" spans="10:12" x14ac:dyDescent="0.25">
      <c r="J210">
        <v>205</v>
      </c>
      <c r="K210">
        <v>371520</v>
      </c>
    </row>
    <row r="211" spans="10:12" x14ac:dyDescent="0.25">
      <c r="J211">
        <v>206</v>
      </c>
      <c r="L211">
        <v>2314286</v>
      </c>
    </row>
    <row r="212" spans="10:12" x14ac:dyDescent="0.25">
      <c r="J212">
        <v>207</v>
      </c>
      <c r="K212">
        <v>148287</v>
      </c>
    </row>
    <row r="213" spans="10:12" x14ac:dyDescent="0.25">
      <c r="J213">
        <v>208</v>
      </c>
      <c r="K213">
        <v>120900</v>
      </c>
    </row>
    <row r="214" spans="10:12" x14ac:dyDescent="0.25">
      <c r="J214">
        <v>209</v>
      </c>
      <c r="K214">
        <v>96720</v>
      </c>
    </row>
    <row r="215" spans="10:12" x14ac:dyDescent="0.25">
      <c r="J215">
        <v>210</v>
      </c>
      <c r="K215">
        <v>175910</v>
      </c>
    </row>
    <row r="216" spans="10:12" x14ac:dyDescent="0.25">
      <c r="J216">
        <v>211</v>
      </c>
      <c r="K216">
        <v>98100</v>
      </c>
    </row>
    <row r="217" spans="10:12" x14ac:dyDescent="0.25">
      <c r="J217">
        <v>212</v>
      </c>
      <c r="K217">
        <v>913715</v>
      </c>
    </row>
    <row r="218" spans="10:12" x14ac:dyDescent="0.25">
      <c r="J218">
        <v>213</v>
      </c>
      <c r="K218">
        <v>197160</v>
      </c>
    </row>
    <row r="219" spans="10:12" x14ac:dyDescent="0.25">
      <c r="J219">
        <v>214</v>
      </c>
      <c r="K219">
        <v>315225</v>
      </c>
    </row>
    <row r="220" spans="10:12" x14ac:dyDescent="0.25">
      <c r="J220">
        <v>215</v>
      </c>
      <c r="K220">
        <v>780952</v>
      </c>
    </row>
    <row r="221" spans="10:12" x14ac:dyDescent="0.25">
      <c r="J221">
        <v>216</v>
      </c>
      <c r="K221">
        <v>418560</v>
      </c>
    </row>
    <row r="222" spans="10:12" x14ac:dyDescent="0.25">
      <c r="J222">
        <v>217</v>
      </c>
      <c r="K222">
        <v>212143</v>
      </c>
    </row>
    <row r="223" spans="10:12" x14ac:dyDescent="0.25">
      <c r="J223">
        <v>218</v>
      </c>
      <c r="K223">
        <v>361429</v>
      </c>
    </row>
    <row r="224" spans="10:12" x14ac:dyDescent="0.25">
      <c r="J224">
        <v>219</v>
      </c>
      <c r="K224">
        <v>714286</v>
      </c>
    </row>
    <row r="225" spans="10:11" x14ac:dyDescent="0.25">
      <c r="J225">
        <v>220</v>
      </c>
      <c r="K225">
        <v>260238</v>
      </c>
    </row>
    <row r="226" spans="10:11" x14ac:dyDescent="0.25">
      <c r="J226">
        <v>221</v>
      </c>
      <c r="K226">
        <v>214286</v>
      </c>
    </row>
    <row r="227" spans="10:11" x14ac:dyDescent="0.25">
      <c r="J227">
        <v>222</v>
      </c>
      <c r="K227">
        <v>357143</v>
      </c>
    </row>
    <row r="228" spans="10:11" x14ac:dyDescent="0.25">
      <c r="J228">
        <v>223</v>
      </c>
      <c r="K228">
        <v>304764</v>
      </c>
    </row>
    <row r="229" spans="10:11" x14ac:dyDescent="0.25">
      <c r="J229">
        <v>224</v>
      </c>
      <c r="K229">
        <v>201620</v>
      </c>
    </row>
    <row r="230" spans="10:11" x14ac:dyDescent="0.25">
      <c r="J230">
        <v>225</v>
      </c>
      <c r="K230">
        <v>161334</v>
      </c>
    </row>
    <row r="231" spans="10:11" x14ac:dyDescent="0.25">
      <c r="J231">
        <v>226</v>
      </c>
      <c r="K231">
        <v>18667</v>
      </c>
    </row>
    <row r="232" spans="10:11" x14ac:dyDescent="0.25">
      <c r="J232">
        <v>227</v>
      </c>
      <c r="K232">
        <v>199048</v>
      </c>
    </row>
    <row r="233" spans="10:11" x14ac:dyDescent="0.25">
      <c r="J233">
        <v>228</v>
      </c>
      <c r="K233">
        <v>222625</v>
      </c>
    </row>
    <row r="234" spans="10:11" x14ac:dyDescent="0.25">
      <c r="J234">
        <v>229</v>
      </c>
      <c r="K234">
        <v>852286</v>
      </c>
    </row>
    <row r="235" spans="10:11" x14ac:dyDescent="0.25">
      <c r="J235">
        <v>230</v>
      </c>
      <c r="K235">
        <v>867241</v>
      </c>
    </row>
    <row r="236" spans="10:11" x14ac:dyDescent="0.25">
      <c r="J236">
        <v>231</v>
      </c>
      <c r="K236">
        <v>138096</v>
      </c>
    </row>
    <row r="237" spans="10:11" x14ac:dyDescent="0.25">
      <c r="J237">
        <v>232</v>
      </c>
      <c r="K237">
        <v>18286</v>
      </c>
    </row>
    <row r="238" spans="10:11" x14ac:dyDescent="0.25">
      <c r="J238">
        <v>233</v>
      </c>
      <c r="K238">
        <v>150480</v>
      </c>
    </row>
    <row r="239" spans="10:11" x14ac:dyDescent="0.25">
      <c r="J239">
        <v>234</v>
      </c>
      <c r="K239">
        <v>1213842</v>
      </c>
    </row>
    <row r="240" spans="10:11" x14ac:dyDescent="0.25">
      <c r="J240">
        <v>235</v>
      </c>
      <c r="K240">
        <v>171667</v>
      </c>
    </row>
    <row r="241" spans="10:11" x14ac:dyDescent="0.25">
      <c r="J241">
        <v>236</v>
      </c>
      <c r="K241">
        <v>149336</v>
      </c>
    </row>
    <row r="242" spans="10:11" x14ac:dyDescent="0.25">
      <c r="J242">
        <v>237</v>
      </c>
      <c r="K242">
        <v>281920</v>
      </c>
    </row>
    <row r="243" spans="10:11" x14ac:dyDescent="0.25">
      <c r="J243">
        <v>238</v>
      </c>
      <c r="K243">
        <v>70950</v>
      </c>
    </row>
    <row r="244" spans="10:11" x14ac:dyDescent="0.25">
      <c r="J244">
        <v>239</v>
      </c>
      <c r="K244">
        <v>362000</v>
      </c>
    </row>
    <row r="245" spans="10:11" x14ac:dyDescent="0.25">
      <c r="J245">
        <v>240</v>
      </c>
      <c r="K245">
        <v>371622</v>
      </c>
    </row>
    <row r="246" spans="10:11" x14ac:dyDescent="0.25">
      <c r="J246">
        <v>241</v>
      </c>
      <c r="K246">
        <v>179775</v>
      </c>
    </row>
    <row r="247" spans="10:11" x14ac:dyDescent="0.25">
      <c r="J247">
        <v>242</v>
      </c>
      <c r="K247">
        <v>245520</v>
      </c>
    </row>
    <row r="248" spans="10:11" x14ac:dyDescent="0.25">
      <c r="J248">
        <v>243</v>
      </c>
      <c r="K248">
        <v>348666</v>
      </c>
    </row>
    <row r="249" spans="10:11" x14ac:dyDescent="0.25">
      <c r="J249">
        <v>244</v>
      </c>
      <c r="K249">
        <v>973817</v>
      </c>
    </row>
    <row r="250" spans="10:11" x14ac:dyDescent="0.25">
      <c r="J250">
        <v>245</v>
      </c>
      <c r="K250">
        <v>294763</v>
      </c>
    </row>
    <row r="251" spans="10:11" x14ac:dyDescent="0.25">
      <c r="J251">
        <v>246</v>
      </c>
      <c r="K251">
        <v>101429</v>
      </c>
    </row>
    <row r="252" spans="10:11" x14ac:dyDescent="0.25">
      <c r="J252">
        <v>247</v>
      </c>
      <c r="K252">
        <v>215714</v>
      </c>
    </row>
    <row r="253" spans="10:11" x14ac:dyDescent="0.25">
      <c r="J253">
        <v>248</v>
      </c>
      <c r="K253">
        <v>130952</v>
      </c>
    </row>
    <row r="254" spans="10:11" x14ac:dyDescent="0.25">
      <c r="J254">
        <v>249</v>
      </c>
      <c r="K254">
        <v>26000</v>
      </c>
    </row>
    <row r="255" spans="10:11" x14ac:dyDescent="0.25">
      <c r="J255">
        <v>250</v>
      </c>
      <c r="K255">
        <v>84762</v>
      </c>
    </row>
    <row r="256" spans="10:11" x14ac:dyDescent="0.25">
      <c r="J256">
        <v>251</v>
      </c>
      <c r="K256">
        <v>384095</v>
      </c>
    </row>
    <row r="257" spans="10:11" x14ac:dyDescent="0.25">
      <c r="J257">
        <v>252</v>
      </c>
      <c r="K257">
        <v>284762</v>
      </c>
    </row>
    <row r="258" spans="10:11" x14ac:dyDescent="0.25">
      <c r="J258">
        <v>253</v>
      </c>
      <c r="K258">
        <v>190476</v>
      </c>
    </row>
    <row r="259" spans="10:11" x14ac:dyDescent="0.25">
      <c r="J259">
        <v>254</v>
      </c>
      <c r="K259">
        <v>569048</v>
      </c>
    </row>
    <row r="260" spans="10:11" x14ac:dyDescent="0.25">
      <c r="J260">
        <v>255</v>
      </c>
      <c r="K260">
        <v>49143</v>
      </c>
    </row>
    <row r="261" spans="10:11" x14ac:dyDescent="0.25">
      <c r="J261">
        <v>256</v>
      </c>
      <c r="K261">
        <v>48810</v>
      </c>
    </row>
    <row r="262" spans="10:11" x14ac:dyDescent="0.25">
      <c r="J262">
        <v>257</v>
      </c>
      <c r="K262">
        <v>550952</v>
      </c>
    </row>
    <row r="263" spans="10:11" x14ac:dyDescent="0.25">
      <c r="J263">
        <v>258</v>
      </c>
      <c r="K263">
        <v>369048</v>
      </c>
    </row>
    <row r="264" spans="10:11" x14ac:dyDescent="0.25">
      <c r="J264">
        <v>259</v>
      </c>
      <c r="K264">
        <v>412572</v>
      </c>
    </row>
    <row r="265" spans="10:11" x14ac:dyDescent="0.25">
      <c r="J265">
        <v>260</v>
      </c>
      <c r="K265">
        <v>149286</v>
      </c>
    </row>
    <row r="266" spans="10:11" x14ac:dyDescent="0.25">
      <c r="J266">
        <v>261</v>
      </c>
      <c r="K266">
        <v>399991</v>
      </c>
    </row>
    <row r="267" spans="10:11" x14ac:dyDescent="0.25">
      <c r="J267">
        <v>262</v>
      </c>
      <c r="K267">
        <v>174190</v>
      </c>
    </row>
    <row r="268" spans="10:11" x14ac:dyDescent="0.25">
      <c r="J268">
        <v>263</v>
      </c>
      <c r="K268">
        <v>538095</v>
      </c>
    </row>
    <row r="269" spans="10:11" x14ac:dyDescent="0.25">
      <c r="J269">
        <v>264</v>
      </c>
      <c r="K269">
        <v>221667</v>
      </c>
    </row>
    <row r="270" spans="10:11" x14ac:dyDescent="0.25">
      <c r="J270">
        <v>265</v>
      </c>
      <c r="K270">
        <v>189046</v>
      </c>
    </row>
    <row r="271" spans="10:11" x14ac:dyDescent="0.25">
      <c r="J271">
        <v>266</v>
      </c>
      <c r="K271">
        <v>219810</v>
      </c>
    </row>
    <row r="272" spans="10:11" x14ac:dyDescent="0.25">
      <c r="J272">
        <v>267</v>
      </c>
      <c r="K272">
        <v>507143</v>
      </c>
    </row>
    <row r="273" spans="10:12" x14ac:dyDescent="0.25">
      <c r="J273">
        <v>268</v>
      </c>
      <c r="K273">
        <v>460460</v>
      </c>
    </row>
    <row r="274" spans="10:12" x14ac:dyDescent="0.25">
      <c r="J274">
        <v>269</v>
      </c>
      <c r="K274">
        <v>73330</v>
      </c>
    </row>
    <row r="275" spans="10:12" x14ac:dyDescent="0.25">
      <c r="J275">
        <v>270</v>
      </c>
      <c r="K275">
        <v>74762</v>
      </c>
    </row>
    <row r="276" spans="10:12" x14ac:dyDescent="0.25">
      <c r="J276">
        <v>271</v>
      </c>
      <c r="L276">
        <v>1798192</v>
      </c>
    </row>
    <row r="277" spans="10:12" x14ac:dyDescent="0.25">
      <c r="J277">
        <v>272</v>
      </c>
      <c r="K277">
        <v>1041429</v>
      </c>
    </row>
    <row r="278" spans="10:12" x14ac:dyDescent="0.25">
      <c r="J278">
        <v>273</v>
      </c>
      <c r="K278">
        <v>143953</v>
      </c>
    </row>
    <row r="279" spans="10:12" x14ac:dyDescent="0.25">
      <c r="J279">
        <v>274</v>
      </c>
      <c r="K279">
        <v>140667</v>
      </c>
    </row>
    <row r="280" spans="10:12" x14ac:dyDescent="0.25">
      <c r="J280">
        <v>275</v>
      </c>
      <c r="K280">
        <v>320665</v>
      </c>
    </row>
    <row r="281" spans="10:12" x14ac:dyDescent="0.25">
      <c r="J281">
        <v>276</v>
      </c>
      <c r="K281">
        <v>77086</v>
      </c>
    </row>
    <row r="282" spans="10:12" x14ac:dyDescent="0.25">
      <c r="J282">
        <v>277</v>
      </c>
      <c r="K282">
        <v>221429</v>
      </c>
    </row>
    <row r="283" spans="10:12" x14ac:dyDescent="0.25">
      <c r="J283">
        <v>278</v>
      </c>
      <c r="K283">
        <v>274857</v>
      </c>
    </row>
    <row r="284" spans="10:12" x14ac:dyDescent="0.25">
      <c r="J284">
        <v>279</v>
      </c>
      <c r="K284">
        <v>572857</v>
      </c>
    </row>
    <row r="285" spans="10:12" x14ac:dyDescent="0.25">
      <c r="J285">
        <v>280</v>
      </c>
      <c r="K285">
        <v>916250</v>
      </c>
    </row>
    <row r="286" spans="10:12" x14ac:dyDescent="0.25">
      <c r="J286">
        <v>281</v>
      </c>
      <c r="K286">
        <v>254429</v>
      </c>
    </row>
    <row r="287" spans="10:12" x14ac:dyDescent="0.25">
      <c r="J287">
        <v>282</v>
      </c>
      <c r="K287">
        <v>770857</v>
      </c>
    </row>
    <row r="288" spans="10:12" x14ac:dyDescent="0.25">
      <c r="J288">
        <v>283</v>
      </c>
      <c r="K288">
        <v>1683200</v>
      </c>
    </row>
    <row r="289" spans="10:12" x14ac:dyDescent="0.25">
      <c r="J289">
        <v>284</v>
      </c>
      <c r="K289">
        <v>732947</v>
      </c>
    </row>
    <row r="290" spans="10:12" x14ac:dyDescent="0.25">
      <c r="J290">
        <v>285</v>
      </c>
      <c r="K290">
        <v>552619</v>
      </c>
    </row>
    <row r="291" spans="10:12" x14ac:dyDescent="0.25">
      <c r="J291">
        <v>286</v>
      </c>
      <c r="K291">
        <v>490476</v>
      </c>
    </row>
    <row r="292" spans="10:12" x14ac:dyDescent="0.25">
      <c r="J292">
        <v>287</v>
      </c>
      <c r="L292">
        <v>4000000</v>
      </c>
    </row>
    <row r="293" spans="10:12" x14ac:dyDescent="0.25">
      <c r="J293">
        <v>288</v>
      </c>
      <c r="K293">
        <v>543810</v>
      </c>
    </row>
    <row r="294" spans="10:12" x14ac:dyDescent="0.25">
      <c r="J294">
        <v>289</v>
      </c>
      <c r="K294">
        <v>952381</v>
      </c>
    </row>
    <row r="295" spans="10:12" x14ac:dyDescent="0.25">
      <c r="J295">
        <v>290</v>
      </c>
      <c r="K295">
        <v>352381</v>
      </c>
    </row>
    <row r="296" spans="10:12" x14ac:dyDescent="0.25">
      <c r="J296">
        <v>291</v>
      </c>
      <c r="K296">
        <v>252387</v>
      </c>
    </row>
    <row r="297" spans="10:12" x14ac:dyDescent="0.25">
      <c r="J297">
        <v>292</v>
      </c>
      <c r="K297">
        <v>80960</v>
      </c>
    </row>
    <row r="298" spans="10:12" x14ac:dyDescent="0.25">
      <c r="J298">
        <v>293</v>
      </c>
      <c r="K298">
        <v>833333</v>
      </c>
    </row>
    <row r="299" spans="10:12" x14ac:dyDescent="0.25">
      <c r="J299">
        <v>294</v>
      </c>
      <c r="K299">
        <v>2863388</v>
      </c>
    </row>
    <row r="300" spans="10:12" x14ac:dyDescent="0.25">
      <c r="J300">
        <v>295</v>
      </c>
      <c r="K300">
        <v>660714</v>
      </c>
    </row>
    <row r="301" spans="10:12" x14ac:dyDescent="0.25">
      <c r="J301">
        <v>296</v>
      </c>
      <c r="K301">
        <v>1660304</v>
      </c>
    </row>
    <row r="302" spans="10:12" x14ac:dyDescent="0.25">
      <c r="J302">
        <v>297</v>
      </c>
      <c r="K302">
        <v>1904762</v>
      </c>
    </row>
    <row r="303" spans="10:12" x14ac:dyDescent="0.25">
      <c r="J303">
        <v>298</v>
      </c>
      <c r="K303">
        <v>619048</v>
      </c>
    </row>
    <row r="304" spans="10:12" x14ac:dyDescent="0.25">
      <c r="J304">
        <v>299</v>
      </c>
      <c r="K304">
        <v>581487</v>
      </c>
    </row>
    <row r="305" spans="10:12" x14ac:dyDescent="0.25">
      <c r="J305">
        <v>300</v>
      </c>
      <c r="K305">
        <v>447619</v>
      </c>
    </row>
    <row r="306" spans="10:12" x14ac:dyDescent="0.25">
      <c r="J306">
        <v>301</v>
      </c>
      <c r="K306">
        <v>331048</v>
      </c>
    </row>
    <row r="307" spans="10:12" x14ac:dyDescent="0.25">
      <c r="J307">
        <v>302</v>
      </c>
      <c r="K307">
        <v>474286</v>
      </c>
    </row>
    <row r="308" spans="10:12" x14ac:dyDescent="0.25">
      <c r="J308">
        <v>303</v>
      </c>
      <c r="K308">
        <v>1267842</v>
      </c>
    </row>
    <row r="309" spans="10:12" x14ac:dyDescent="0.25">
      <c r="J309">
        <v>304</v>
      </c>
      <c r="K309">
        <v>285731</v>
      </c>
    </row>
    <row r="310" spans="10:12" x14ac:dyDescent="0.25">
      <c r="J310">
        <v>305</v>
      </c>
      <c r="K310">
        <v>919048</v>
      </c>
    </row>
    <row r="311" spans="10:12" x14ac:dyDescent="0.25">
      <c r="J311">
        <v>306</v>
      </c>
      <c r="K311">
        <v>190464</v>
      </c>
    </row>
    <row r="312" spans="10:12" x14ac:dyDescent="0.25">
      <c r="J312">
        <v>307</v>
      </c>
      <c r="K312">
        <v>778208</v>
      </c>
    </row>
    <row r="313" spans="10:12" x14ac:dyDescent="0.25">
      <c r="J313">
        <v>308</v>
      </c>
      <c r="K313">
        <v>358095</v>
      </c>
    </row>
    <row r="314" spans="10:12" x14ac:dyDescent="0.25">
      <c r="J314">
        <v>309</v>
      </c>
      <c r="K314">
        <v>308571</v>
      </c>
    </row>
    <row r="315" spans="10:12" x14ac:dyDescent="0.25">
      <c r="J315">
        <v>310</v>
      </c>
      <c r="K315">
        <v>297143</v>
      </c>
    </row>
    <row r="316" spans="10:12" x14ac:dyDescent="0.25">
      <c r="J316">
        <v>311</v>
      </c>
      <c r="K316">
        <v>595250</v>
      </c>
    </row>
    <row r="317" spans="10:12" x14ac:dyDescent="0.25">
      <c r="J317">
        <v>312</v>
      </c>
      <c r="K317">
        <v>172952</v>
      </c>
    </row>
    <row r="318" spans="10:12" x14ac:dyDescent="0.25">
      <c r="J318">
        <v>313</v>
      </c>
      <c r="K318">
        <v>476190</v>
      </c>
    </row>
    <row r="319" spans="10:12" x14ac:dyDescent="0.25">
      <c r="J319">
        <v>314</v>
      </c>
      <c r="L319">
        <v>17524</v>
      </c>
    </row>
    <row r="320" spans="10:12" x14ac:dyDescent="0.25">
      <c r="J320">
        <v>315</v>
      </c>
      <c r="K320">
        <v>290880</v>
      </c>
    </row>
    <row r="321" spans="10:12" x14ac:dyDescent="0.25">
      <c r="J321">
        <v>316</v>
      </c>
      <c r="K321">
        <v>242400</v>
      </c>
    </row>
    <row r="322" spans="10:12" x14ac:dyDescent="0.25">
      <c r="J322">
        <v>317</v>
      </c>
      <c r="K322">
        <v>704286</v>
      </c>
    </row>
    <row r="323" spans="10:12" x14ac:dyDescent="0.25">
      <c r="J323">
        <v>318</v>
      </c>
      <c r="K323">
        <v>267188</v>
      </c>
    </row>
    <row r="324" spans="10:12" x14ac:dyDescent="0.25">
      <c r="J324">
        <v>319</v>
      </c>
      <c r="K324">
        <v>380952</v>
      </c>
    </row>
    <row r="325" spans="10:12" x14ac:dyDescent="0.25">
      <c r="J325">
        <v>320</v>
      </c>
      <c r="K325">
        <v>476190</v>
      </c>
    </row>
    <row r="326" spans="10:12" x14ac:dyDescent="0.25">
      <c r="J326">
        <v>321</v>
      </c>
      <c r="K326">
        <v>1656000</v>
      </c>
    </row>
    <row r="327" spans="10:12" x14ac:dyDescent="0.25">
      <c r="J327">
        <v>322</v>
      </c>
      <c r="K327">
        <v>752381</v>
      </c>
    </row>
    <row r="328" spans="10:12" x14ac:dyDescent="0.25">
      <c r="J328">
        <v>323</v>
      </c>
      <c r="K328">
        <v>544614</v>
      </c>
    </row>
    <row r="329" spans="10:12" x14ac:dyDescent="0.25">
      <c r="J329">
        <v>324</v>
      </c>
      <c r="K329">
        <v>1824000</v>
      </c>
    </row>
    <row r="330" spans="10:12" x14ac:dyDescent="0.25">
      <c r="J330">
        <v>325</v>
      </c>
      <c r="K330">
        <v>2207695</v>
      </c>
    </row>
    <row r="331" spans="10:12" x14ac:dyDescent="0.25">
      <c r="J331">
        <v>326</v>
      </c>
      <c r="K331">
        <v>211758</v>
      </c>
    </row>
    <row r="332" spans="10:12" x14ac:dyDescent="0.25">
      <c r="J332">
        <v>327</v>
      </c>
      <c r="L332">
        <v>20861</v>
      </c>
    </row>
    <row r="333" spans="10:12" x14ac:dyDescent="0.25">
      <c r="J333">
        <v>328</v>
      </c>
      <c r="K333">
        <v>804762</v>
      </c>
    </row>
    <row r="334" spans="10:12" x14ac:dyDescent="0.25">
      <c r="J334">
        <v>329</v>
      </c>
      <c r="K334">
        <v>718095</v>
      </c>
    </row>
    <row r="335" spans="10:12" x14ac:dyDescent="0.25">
      <c r="J335">
        <v>330</v>
      </c>
      <c r="K335">
        <v>476190</v>
      </c>
    </row>
    <row r="336" spans="10:12" x14ac:dyDescent="0.25">
      <c r="J336">
        <v>331</v>
      </c>
      <c r="K336">
        <v>318200</v>
      </c>
    </row>
    <row r="337" spans="10:11" x14ac:dyDescent="0.25">
      <c r="J337">
        <v>332</v>
      </c>
      <c r="K337">
        <v>587373</v>
      </c>
    </row>
    <row r="338" spans="10:11" x14ac:dyDescent="0.25">
      <c r="J338">
        <v>333</v>
      </c>
      <c r="K338">
        <v>2788345</v>
      </c>
    </row>
    <row r="339" spans="10:11" x14ac:dyDescent="0.25">
      <c r="J339">
        <v>334</v>
      </c>
      <c r="K339">
        <v>349988</v>
      </c>
    </row>
    <row r="340" spans="10:11" x14ac:dyDescent="0.25">
      <c r="J340">
        <v>335</v>
      </c>
      <c r="K340">
        <v>2427576</v>
      </c>
    </row>
    <row r="341" spans="10:11" x14ac:dyDescent="0.25">
      <c r="J341">
        <v>336</v>
      </c>
      <c r="K341">
        <v>2661953</v>
      </c>
    </row>
    <row r="342" spans="10:11" x14ac:dyDescent="0.25">
      <c r="J342">
        <v>337</v>
      </c>
      <c r="K342">
        <v>224000</v>
      </c>
    </row>
    <row r="343" spans="10:11" x14ac:dyDescent="0.25">
      <c r="J343">
        <v>338</v>
      </c>
      <c r="K343">
        <v>678096</v>
      </c>
    </row>
    <row r="344" spans="10:11" x14ac:dyDescent="0.25">
      <c r="J344">
        <v>339</v>
      </c>
      <c r="K344">
        <v>323810</v>
      </c>
    </row>
    <row r="345" spans="10:11" x14ac:dyDescent="0.25">
      <c r="J345">
        <v>340</v>
      </c>
      <c r="K345">
        <v>500000</v>
      </c>
    </row>
    <row r="346" spans="10:11" x14ac:dyDescent="0.25">
      <c r="J346">
        <v>341</v>
      </c>
      <c r="K346">
        <v>411500</v>
      </c>
    </row>
    <row r="347" spans="10:11" x14ac:dyDescent="0.25">
      <c r="J347">
        <v>342</v>
      </c>
      <c r="K347">
        <v>2500000</v>
      </c>
    </row>
    <row r="348" spans="10:11" x14ac:dyDescent="0.25">
      <c r="J348">
        <v>343</v>
      </c>
      <c r="K348">
        <v>97300</v>
      </c>
    </row>
    <row r="349" spans="10:11" x14ac:dyDescent="0.25">
      <c r="J349">
        <v>344</v>
      </c>
      <c r="K349">
        <v>2644763</v>
      </c>
    </row>
    <row r="350" spans="10:11" x14ac:dyDescent="0.25">
      <c r="J350">
        <v>345</v>
      </c>
      <c r="K350">
        <v>500000</v>
      </c>
    </row>
    <row r="351" spans="10:11" x14ac:dyDescent="0.25">
      <c r="J351">
        <v>346</v>
      </c>
      <c r="K351">
        <v>285714</v>
      </c>
    </row>
    <row r="352" spans="10:11" x14ac:dyDescent="0.25">
      <c r="J352">
        <v>347</v>
      </c>
      <c r="K352">
        <v>2455518</v>
      </c>
    </row>
    <row r="353" spans="10:11" x14ac:dyDescent="0.25">
      <c r="J353">
        <v>348</v>
      </c>
      <c r="K353">
        <v>1661905</v>
      </c>
    </row>
    <row r="354" spans="10:11" x14ac:dyDescent="0.25">
      <c r="J354">
        <v>349</v>
      </c>
      <c r="K354">
        <v>742857</v>
      </c>
    </row>
    <row r="355" spans="10:11" x14ac:dyDescent="0.25">
      <c r="J355">
        <v>350</v>
      </c>
      <c r="K355">
        <v>805714</v>
      </c>
    </row>
    <row r="356" spans="10:11" x14ac:dyDescent="0.25">
      <c r="J356">
        <v>351</v>
      </c>
      <c r="K356">
        <v>3619000</v>
      </c>
    </row>
    <row r="357" spans="10:11" x14ac:dyDescent="0.25">
      <c r="J357">
        <v>352</v>
      </c>
      <c r="K357">
        <v>1417143</v>
      </c>
    </row>
    <row r="358" spans="10:11" x14ac:dyDescent="0.25">
      <c r="J358">
        <v>353</v>
      </c>
      <c r="K358">
        <v>1591798</v>
      </c>
    </row>
    <row r="359" spans="10:11" x14ac:dyDescent="0.25">
      <c r="J359">
        <v>354</v>
      </c>
      <c r="K359">
        <v>260702</v>
      </c>
    </row>
    <row r="360" spans="10:11" x14ac:dyDescent="0.25">
      <c r="J360">
        <v>355</v>
      </c>
      <c r="K360">
        <v>1857143</v>
      </c>
    </row>
    <row r="361" spans="10:11" x14ac:dyDescent="0.25">
      <c r="J361">
        <v>356</v>
      </c>
      <c r="K361">
        <v>238095</v>
      </c>
    </row>
    <row r="362" spans="10:11" x14ac:dyDescent="0.25">
      <c r="J362">
        <v>357</v>
      </c>
      <c r="K362">
        <v>3788472</v>
      </c>
    </row>
    <row r="363" spans="10:11" x14ac:dyDescent="0.25">
      <c r="J363">
        <v>358</v>
      </c>
      <c r="K363">
        <v>623810</v>
      </c>
    </row>
    <row r="364" spans="10:11" x14ac:dyDescent="0.25">
      <c r="J364">
        <v>359</v>
      </c>
      <c r="K364">
        <v>1292480</v>
      </c>
    </row>
    <row r="365" spans="10:11" x14ac:dyDescent="0.25">
      <c r="J365">
        <v>360</v>
      </c>
      <c r="K365">
        <v>1380952</v>
      </c>
    </row>
    <row r="366" spans="10:11" x14ac:dyDescent="0.25">
      <c r="J366">
        <v>361</v>
      </c>
      <c r="K366">
        <v>1379680</v>
      </c>
    </row>
    <row r="367" spans="10:11" x14ac:dyDescent="0.25">
      <c r="J367">
        <v>362</v>
      </c>
      <c r="K367">
        <v>1600248</v>
      </c>
    </row>
    <row r="368" spans="10:11" x14ac:dyDescent="0.25">
      <c r="J368">
        <v>363</v>
      </c>
      <c r="K368">
        <v>336648</v>
      </c>
    </row>
    <row r="369" spans="10:12" x14ac:dyDescent="0.25">
      <c r="J369">
        <v>364</v>
      </c>
      <c r="K369">
        <v>952380</v>
      </c>
    </row>
    <row r="370" spans="10:12" x14ac:dyDescent="0.25">
      <c r="J370">
        <v>365</v>
      </c>
      <c r="K370">
        <v>438095</v>
      </c>
    </row>
    <row r="371" spans="10:12" x14ac:dyDescent="0.25">
      <c r="J371">
        <v>366</v>
      </c>
      <c r="K371">
        <v>1071440</v>
      </c>
    </row>
    <row r="372" spans="10:12" x14ac:dyDescent="0.25">
      <c r="J372">
        <v>367</v>
      </c>
      <c r="K372">
        <v>3428655</v>
      </c>
    </row>
    <row r="373" spans="10:12" x14ac:dyDescent="0.25">
      <c r="J373">
        <v>368</v>
      </c>
      <c r="K373">
        <v>1051872</v>
      </c>
    </row>
    <row r="374" spans="10:12" x14ac:dyDescent="0.25">
      <c r="J374">
        <v>369</v>
      </c>
      <c r="K374">
        <v>473213</v>
      </c>
    </row>
    <row r="375" spans="10:12" x14ac:dyDescent="0.25">
      <c r="J375">
        <v>370</v>
      </c>
      <c r="K375">
        <v>661905</v>
      </c>
    </row>
    <row r="376" spans="10:12" x14ac:dyDescent="0.25">
      <c r="J376">
        <v>371</v>
      </c>
      <c r="L376">
        <v>4417663</v>
      </c>
    </row>
    <row r="377" spans="10:12" x14ac:dyDescent="0.25">
      <c r="J377">
        <v>372</v>
      </c>
      <c r="K377">
        <v>566667</v>
      </c>
    </row>
    <row r="378" spans="10:12" x14ac:dyDescent="0.25">
      <c r="J378">
        <v>373</v>
      </c>
      <c r="K378">
        <v>187810</v>
      </c>
    </row>
    <row r="379" spans="10:12" x14ac:dyDescent="0.25">
      <c r="J379">
        <v>374</v>
      </c>
      <c r="K379">
        <v>948430</v>
      </c>
    </row>
    <row r="380" spans="10:12" x14ac:dyDescent="0.25">
      <c r="J380">
        <v>375</v>
      </c>
      <c r="K380">
        <v>799953</v>
      </c>
    </row>
    <row r="381" spans="10:12" x14ac:dyDescent="0.25">
      <c r="J381">
        <v>376</v>
      </c>
      <c r="K381">
        <v>238095</v>
      </c>
    </row>
    <row r="382" spans="10:12" x14ac:dyDescent="0.25">
      <c r="J382">
        <v>377</v>
      </c>
      <c r="K382">
        <v>860715</v>
      </c>
    </row>
    <row r="383" spans="10:12" x14ac:dyDescent="0.25">
      <c r="J383">
        <v>378</v>
      </c>
      <c r="K383">
        <v>380810</v>
      </c>
    </row>
    <row r="384" spans="10:12" x14ac:dyDescent="0.25">
      <c r="J384">
        <v>379</v>
      </c>
      <c r="K384">
        <v>690952</v>
      </c>
    </row>
    <row r="385" spans="10:12" x14ac:dyDescent="0.25">
      <c r="J385">
        <v>380</v>
      </c>
      <c r="K385">
        <v>742571</v>
      </c>
    </row>
    <row r="386" spans="10:12" x14ac:dyDescent="0.25">
      <c r="J386">
        <v>381</v>
      </c>
      <c r="K386">
        <v>361905</v>
      </c>
    </row>
    <row r="387" spans="10:12" x14ac:dyDescent="0.25">
      <c r="J387">
        <v>382</v>
      </c>
      <c r="K387">
        <v>809524</v>
      </c>
    </row>
    <row r="388" spans="10:12" x14ac:dyDescent="0.25">
      <c r="J388">
        <v>383</v>
      </c>
      <c r="L388">
        <v>60952</v>
      </c>
    </row>
    <row r="389" spans="10:12" x14ac:dyDescent="0.25">
      <c r="J389">
        <v>384</v>
      </c>
      <c r="K389">
        <v>816000</v>
      </c>
    </row>
    <row r="390" spans="10:12" x14ac:dyDescent="0.25">
      <c r="J390">
        <v>385</v>
      </c>
      <c r="K390">
        <v>334095</v>
      </c>
    </row>
    <row r="391" spans="10:12" x14ac:dyDescent="0.25">
      <c r="J391">
        <v>386</v>
      </c>
      <c r="K391">
        <v>630476</v>
      </c>
    </row>
    <row r="392" spans="10:12" x14ac:dyDescent="0.25">
      <c r="J392">
        <v>387</v>
      </c>
      <c r="K392">
        <v>1390000</v>
      </c>
    </row>
    <row r="393" spans="10:12" x14ac:dyDescent="0.25">
      <c r="J393">
        <v>388</v>
      </c>
      <c r="K393">
        <v>489300</v>
      </c>
    </row>
    <row r="394" spans="10:12" x14ac:dyDescent="0.25">
      <c r="J394">
        <v>389</v>
      </c>
      <c r="K394">
        <v>229744</v>
      </c>
    </row>
    <row r="395" spans="10:12" x14ac:dyDescent="0.25">
      <c r="J395">
        <v>390</v>
      </c>
      <c r="K395">
        <v>102286</v>
      </c>
    </row>
    <row r="396" spans="10:12" x14ac:dyDescent="0.25">
      <c r="J396">
        <v>391</v>
      </c>
      <c r="K396">
        <v>190476</v>
      </c>
    </row>
    <row r="397" spans="10:12" x14ac:dyDescent="0.25">
      <c r="J397">
        <v>392</v>
      </c>
      <c r="L397">
        <v>161714</v>
      </c>
    </row>
    <row r="398" spans="10:12" x14ac:dyDescent="0.25">
      <c r="J398">
        <v>393</v>
      </c>
      <c r="K398">
        <v>466190</v>
      </c>
    </row>
    <row r="399" spans="10:12" x14ac:dyDescent="0.25">
      <c r="J399">
        <v>394</v>
      </c>
      <c r="K399">
        <v>476190</v>
      </c>
    </row>
    <row r="400" spans="10:12" x14ac:dyDescent="0.25">
      <c r="J400">
        <v>395</v>
      </c>
      <c r="K400">
        <v>226572</v>
      </c>
    </row>
    <row r="401" spans="10:12" x14ac:dyDescent="0.25">
      <c r="J401">
        <v>396</v>
      </c>
      <c r="K401">
        <v>1308382</v>
      </c>
    </row>
    <row r="402" spans="10:12" x14ac:dyDescent="0.25">
      <c r="J402">
        <v>397</v>
      </c>
      <c r="K402">
        <v>285713</v>
      </c>
    </row>
    <row r="403" spans="10:12" x14ac:dyDescent="0.25">
      <c r="J403">
        <v>398</v>
      </c>
      <c r="K403">
        <v>704762</v>
      </c>
    </row>
    <row r="404" spans="10:12" x14ac:dyDescent="0.25">
      <c r="J404">
        <v>399</v>
      </c>
      <c r="K404">
        <v>285714</v>
      </c>
    </row>
    <row r="405" spans="10:12" x14ac:dyDescent="0.25">
      <c r="J405">
        <v>400</v>
      </c>
      <c r="K405">
        <v>110190</v>
      </c>
    </row>
    <row r="406" spans="10:12" x14ac:dyDescent="0.25">
      <c r="J406">
        <v>401</v>
      </c>
      <c r="K406">
        <v>952381</v>
      </c>
    </row>
    <row r="407" spans="10:12" x14ac:dyDescent="0.25">
      <c r="J407">
        <v>402</v>
      </c>
      <c r="K407">
        <v>209524</v>
      </c>
    </row>
    <row r="408" spans="10:12" x14ac:dyDescent="0.25">
      <c r="J408">
        <v>403</v>
      </c>
      <c r="K408">
        <v>1177781</v>
      </c>
    </row>
    <row r="409" spans="10:12" x14ac:dyDescent="0.25">
      <c r="J409">
        <v>404</v>
      </c>
      <c r="K409">
        <v>171429</v>
      </c>
    </row>
    <row r="410" spans="10:12" x14ac:dyDescent="0.25">
      <c r="J410">
        <v>405</v>
      </c>
      <c r="K410">
        <v>63905</v>
      </c>
    </row>
    <row r="411" spans="10:12" x14ac:dyDescent="0.25">
      <c r="J411">
        <v>406</v>
      </c>
      <c r="K411">
        <v>210000</v>
      </c>
    </row>
    <row r="412" spans="10:12" x14ac:dyDescent="0.25">
      <c r="J412">
        <v>407</v>
      </c>
      <c r="K412">
        <v>809524</v>
      </c>
    </row>
    <row r="413" spans="10:12" x14ac:dyDescent="0.25">
      <c r="J413">
        <v>408</v>
      </c>
      <c r="K413">
        <v>680048</v>
      </c>
    </row>
    <row r="414" spans="10:12" x14ac:dyDescent="0.25">
      <c r="J414">
        <v>409</v>
      </c>
      <c r="K414">
        <v>97810</v>
      </c>
    </row>
    <row r="415" spans="10:12" x14ac:dyDescent="0.25">
      <c r="J415">
        <v>410</v>
      </c>
      <c r="K415">
        <v>290476</v>
      </c>
    </row>
    <row r="416" spans="10:12" x14ac:dyDescent="0.25">
      <c r="J416">
        <v>411</v>
      </c>
      <c r="L416">
        <v>51900</v>
      </c>
    </row>
    <row r="417" spans="10:12" x14ac:dyDescent="0.25">
      <c r="J417">
        <v>412</v>
      </c>
      <c r="K417">
        <v>247620</v>
      </c>
    </row>
    <row r="418" spans="10:12" x14ac:dyDescent="0.25">
      <c r="J418">
        <v>413</v>
      </c>
      <c r="L418">
        <v>285714</v>
      </c>
    </row>
    <row r="419" spans="10:12" x14ac:dyDescent="0.25">
      <c r="J419">
        <v>414</v>
      </c>
      <c r="K419">
        <v>174286</v>
      </c>
    </row>
    <row r="420" spans="10:12" x14ac:dyDescent="0.25">
      <c r="J420">
        <v>415</v>
      </c>
      <c r="K420">
        <v>2638000</v>
      </c>
    </row>
    <row r="421" spans="10:12" x14ac:dyDescent="0.25">
      <c r="J421">
        <v>416</v>
      </c>
      <c r="K421">
        <v>1820000</v>
      </c>
    </row>
    <row r="422" spans="10:12" x14ac:dyDescent="0.25">
      <c r="J422">
        <v>417</v>
      </c>
      <c r="K422">
        <v>190000</v>
      </c>
    </row>
    <row r="423" spans="10:12" x14ac:dyDescent="0.25">
      <c r="J423">
        <v>418</v>
      </c>
      <c r="K423">
        <v>1000000</v>
      </c>
    </row>
    <row r="424" spans="10:12" x14ac:dyDescent="0.25">
      <c r="J424">
        <v>419</v>
      </c>
      <c r="K424">
        <v>871400</v>
      </c>
    </row>
    <row r="425" spans="10:12" x14ac:dyDescent="0.25">
      <c r="J425">
        <v>420</v>
      </c>
      <c r="K425">
        <v>358000</v>
      </c>
    </row>
    <row r="426" spans="10:12" x14ac:dyDescent="0.25">
      <c r="J426">
        <v>421</v>
      </c>
      <c r="K426">
        <v>950000</v>
      </c>
    </row>
    <row r="427" spans="10:12" x14ac:dyDescent="0.25">
      <c r="J427">
        <v>422</v>
      </c>
      <c r="K427">
        <v>308380</v>
      </c>
    </row>
    <row r="428" spans="10:12" x14ac:dyDescent="0.25">
      <c r="J428">
        <v>423</v>
      </c>
      <c r="L428">
        <v>3021429</v>
      </c>
    </row>
    <row r="429" spans="10:12" x14ac:dyDescent="0.25">
      <c r="J429">
        <v>424</v>
      </c>
      <c r="K429">
        <v>238100</v>
      </c>
    </row>
    <row r="430" spans="10:12" x14ac:dyDescent="0.25">
      <c r="J430">
        <v>425</v>
      </c>
      <c r="K430">
        <v>1714286</v>
      </c>
    </row>
    <row r="431" spans="10:12" x14ac:dyDescent="0.25">
      <c r="J431">
        <v>426</v>
      </c>
      <c r="K431">
        <v>466667</v>
      </c>
    </row>
    <row r="432" spans="10:12" x14ac:dyDescent="0.25">
      <c r="J432">
        <v>427</v>
      </c>
      <c r="K432">
        <v>152381</v>
      </c>
    </row>
    <row r="433" spans="10:11" x14ac:dyDescent="0.25">
      <c r="J433">
        <v>428</v>
      </c>
      <c r="K433">
        <v>72236</v>
      </c>
    </row>
    <row r="434" spans="10:11" x14ac:dyDescent="0.25">
      <c r="J434">
        <v>429</v>
      </c>
      <c r="K434">
        <v>1309524</v>
      </c>
    </row>
    <row r="435" spans="10:11" x14ac:dyDescent="0.25">
      <c r="J435">
        <v>430</v>
      </c>
      <c r="K435">
        <v>1285714</v>
      </c>
    </row>
    <row r="436" spans="10:11" x14ac:dyDescent="0.25">
      <c r="J436">
        <v>431</v>
      </c>
      <c r="K436">
        <v>190476</v>
      </c>
    </row>
    <row r="437" spans="10:11" x14ac:dyDescent="0.25">
      <c r="J437">
        <v>432</v>
      </c>
      <c r="K437">
        <v>176190</v>
      </c>
    </row>
    <row r="438" spans="10:11" x14ac:dyDescent="0.25">
      <c r="J438">
        <v>433</v>
      </c>
      <c r="K438">
        <v>2506250</v>
      </c>
    </row>
    <row r="439" spans="10:11" x14ac:dyDescent="0.25">
      <c r="J439">
        <v>434</v>
      </c>
      <c r="K439">
        <v>2393566</v>
      </c>
    </row>
    <row r="440" spans="10:11" x14ac:dyDescent="0.25">
      <c r="J440">
        <v>435</v>
      </c>
      <c r="K440">
        <v>301714</v>
      </c>
    </row>
    <row r="441" spans="10:11" x14ac:dyDescent="0.25">
      <c r="J441">
        <v>436</v>
      </c>
      <c r="K441">
        <v>437580</v>
      </c>
    </row>
    <row r="442" spans="10:11" x14ac:dyDescent="0.25">
      <c r="J442">
        <v>437</v>
      </c>
      <c r="K442">
        <v>952400</v>
      </c>
    </row>
    <row r="443" spans="10:11" x14ac:dyDescent="0.25">
      <c r="J443">
        <v>438</v>
      </c>
      <c r="K443">
        <v>280000</v>
      </c>
    </row>
    <row r="444" spans="10:11" x14ac:dyDescent="0.25">
      <c r="J444">
        <v>439</v>
      </c>
      <c r="K444">
        <v>1383700</v>
      </c>
    </row>
    <row r="445" spans="10:11" x14ac:dyDescent="0.25">
      <c r="J445">
        <v>440</v>
      </c>
      <c r="K445">
        <v>2314680</v>
      </c>
    </row>
    <row r="446" spans="10:11" x14ac:dyDescent="0.25">
      <c r="J446">
        <v>441</v>
      </c>
      <c r="K446">
        <v>323800</v>
      </c>
    </row>
    <row r="447" spans="10:11" x14ac:dyDescent="0.25">
      <c r="J447">
        <v>442</v>
      </c>
      <c r="K447">
        <v>453320</v>
      </c>
    </row>
    <row r="448" spans="10:11" x14ac:dyDescent="0.25">
      <c r="J448">
        <v>443</v>
      </c>
      <c r="K448">
        <v>1190476</v>
      </c>
    </row>
    <row r="449" spans="10:12" x14ac:dyDescent="0.25">
      <c r="J449">
        <v>444</v>
      </c>
      <c r="K449">
        <v>695238</v>
      </c>
    </row>
    <row r="450" spans="10:12" x14ac:dyDescent="0.25">
      <c r="J450">
        <v>445</v>
      </c>
      <c r="K450">
        <v>688571</v>
      </c>
    </row>
    <row r="451" spans="10:12" x14ac:dyDescent="0.25">
      <c r="J451">
        <v>446</v>
      </c>
      <c r="K451">
        <v>2220017</v>
      </c>
    </row>
    <row r="452" spans="10:12" x14ac:dyDescent="0.25">
      <c r="J452">
        <v>447</v>
      </c>
      <c r="K452">
        <v>1668600</v>
      </c>
    </row>
    <row r="453" spans="10:12" x14ac:dyDescent="0.25">
      <c r="J453">
        <v>448</v>
      </c>
      <c r="K453">
        <v>952381</v>
      </c>
    </row>
    <row r="454" spans="10:12" x14ac:dyDescent="0.25">
      <c r="J454">
        <v>449</v>
      </c>
      <c r="K454">
        <v>860769</v>
      </c>
    </row>
    <row r="455" spans="10:12" x14ac:dyDescent="0.25">
      <c r="J455">
        <v>450</v>
      </c>
      <c r="K455">
        <v>1122115</v>
      </c>
    </row>
    <row r="456" spans="10:12" x14ac:dyDescent="0.25">
      <c r="J456">
        <v>451</v>
      </c>
      <c r="K456">
        <v>780618</v>
      </c>
    </row>
    <row r="457" spans="10:12" x14ac:dyDescent="0.25">
      <c r="J457">
        <v>452</v>
      </c>
      <c r="K457">
        <v>1559356</v>
      </c>
    </row>
    <row r="458" spans="10:12" x14ac:dyDescent="0.25">
      <c r="J458">
        <v>453</v>
      </c>
      <c r="K458">
        <v>1427800</v>
      </c>
    </row>
    <row r="459" spans="10:12" x14ac:dyDescent="0.25">
      <c r="J459">
        <v>454</v>
      </c>
      <c r="L459">
        <v>3666260</v>
      </c>
    </row>
    <row r="460" spans="10:12" x14ac:dyDescent="0.25">
      <c r="J460">
        <v>455</v>
      </c>
      <c r="K460">
        <v>577020</v>
      </c>
    </row>
    <row r="461" spans="10:12" x14ac:dyDescent="0.25">
      <c r="J461">
        <v>456</v>
      </c>
      <c r="L461">
        <v>3286000</v>
      </c>
    </row>
    <row r="462" spans="10:12" x14ac:dyDescent="0.25">
      <c r="J462">
        <v>457</v>
      </c>
      <c r="K462">
        <v>1357000</v>
      </c>
    </row>
    <row r="463" spans="10:12" x14ac:dyDescent="0.25">
      <c r="J463">
        <v>458</v>
      </c>
      <c r="K463">
        <v>430100</v>
      </c>
    </row>
    <row r="464" spans="10:12" x14ac:dyDescent="0.25">
      <c r="J464">
        <v>459</v>
      </c>
      <c r="K464">
        <v>477400</v>
      </c>
    </row>
    <row r="465" spans="10:12" x14ac:dyDescent="0.25">
      <c r="J465">
        <v>460</v>
      </c>
      <c r="K465">
        <v>477400</v>
      </c>
    </row>
    <row r="466" spans="10:12" x14ac:dyDescent="0.25">
      <c r="J466">
        <v>461</v>
      </c>
      <c r="K466">
        <v>585280</v>
      </c>
    </row>
    <row r="467" spans="10:12" x14ac:dyDescent="0.25">
      <c r="J467">
        <v>462</v>
      </c>
      <c r="K467">
        <v>217002</v>
      </c>
    </row>
    <row r="468" spans="10:12" x14ac:dyDescent="0.25">
      <c r="J468">
        <v>463</v>
      </c>
      <c r="L468">
        <v>4000000</v>
      </c>
    </row>
    <row r="469" spans="10:12" x14ac:dyDescent="0.25">
      <c r="J469">
        <v>464</v>
      </c>
      <c r="K469">
        <v>826970</v>
      </c>
    </row>
    <row r="470" spans="10:12" x14ac:dyDescent="0.25">
      <c r="J470">
        <v>465</v>
      </c>
      <c r="K470">
        <v>247329</v>
      </c>
    </row>
    <row r="471" spans="10:12" x14ac:dyDescent="0.25">
      <c r="J471">
        <v>466</v>
      </c>
      <c r="K471">
        <v>699000</v>
      </c>
    </row>
    <row r="472" spans="10:12" x14ac:dyDescent="0.25">
      <c r="J472">
        <v>467</v>
      </c>
      <c r="K472">
        <v>264369</v>
      </c>
    </row>
    <row r="473" spans="10:12" x14ac:dyDescent="0.25">
      <c r="J473">
        <v>468</v>
      </c>
      <c r="K473">
        <v>684128</v>
      </c>
    </row>
    <row r="474" spans="10:12" x14ac:dyDescent="0.25">
      <c r="J474">
        <v>469</v>
      </c>
      <c r="K474">
        <v>397050</v>
      </c>
    </row>
    <row r="475" spans="10:12" x14ac:dyDescent="0.25">
      <c r="J475">
        <v>470</v>
      </c>
      <c r="K475">
        <v>259820</v>
      </c>
    </row>
    <row r="476" spans="10:12" x14ac:dyDescent="0.25">
      <c r="J476">
        <v>471</v>
      </c>
      <c r="K476">
        <v>731936</v>
      </c>
    </row>
    <row r="477" spans="10:12" x14ac:dyDescent="0.25">
      <c r="J477">
        <v>472</v>
      </c>
      <c r="K477">
        <v>178500</v>
      </c>
    </row>
    <row r="478" spans="10:12" x14ac:dyDescent="0.25">
      <c r="J478">
        <v>473</v>
      </c>
      <c r="K478">
        <v>127500</v>
      </c>
    </row>
    <row r="479" spans="10:12" x14ac:dyDescent="0.25">
      <c r="J479">
        <v>474</v>
      </c>
      <c r="K479">
        <v>723405</v>
      </c>
    </row>
    <row r="480" spans="10:12" x14ac:dyDescent="0.25">
      <c r="J480">
        <v>475</v>
      </c>
      <c r="K480">
        <v>900964</v>
      </c>
    </row>
    <row r="481" spans="10:11" x14ac:dyDescent="0.25">
      <c r="J481">
        <v>476</v>
      </c>
      <c r="K481">
        <v>904264</v>
      </c>
    </row>
    <row r="482" spans="10:11" x14ac:dyDescent="0.25">
      <c r="J482">
        <v>477</v>
      </c>
      <c r="K482">
        <v>952000</v>
      </c>
    </row>
    <row r="483" spans="10:11" x14ac:dyDescent="0.25">
      <c r="J483">
        <v>478</v>
      </c>
      <c r="K483">
        <v>952000</v>
      </c>
    </row>
    <row r="484" spans="10:11" x14ac:dyDescent="0.25">
      <c r="J484">
        <v>479</v>
      </c>
      <c r="K484">
        <v>114240</v>
      </c>
    </row>
    <row r="485" spans="10:11" x14ac:dyDescent="0.25">
      <c r="J485">
        <v>480</v>
      </c>
      <c r="K485">
        <v>919356</v>
      </c>
    </row>
    <row r="486" spans="10:11" x14ac:dyDescent="0.25">
      <c r="J486">
        <v>481</v>
      </c>
      <c r="K486">
        <v>952380</v>
      </c>
    </row>
    <row r="487" spans="10:11" x14ac:dyDescent="0.25">
      <c r="J487">
        <v>482</v>
      </c>
      <c r="K487">
        <v>952380</v>
      </c>
    </row>
    <row r="488" spans="10:11" x14ac:dyDescent="0.25">
      <c r="J488">
        <v>483</v>
      </c>
      <c r="K488">
        <v>285840</v>
      </c>
    </row>
    <row r="489" spans="10:11" x14ac:dyDescent="0.25">
      <c r="J489">
        <v>484</v>
      </c>
      <c r="K489">
        <v>908189</v>
      </c>
    </row>
    <row r="490" spans="10:11" x14ac:dyDescent="0.25">
      <c r="J490">
        <v>485</v>
      </c>
      <c r="K490">
        <v>466286</v>
      </c>
    </row>
    <row r="491" spans="10:11" x14ac:dyDescent="0.25">
      <c r="J491">
        <v>486</v>
      </c>
      <c r="K491">
        <v>692897</v>
      </c>
    </row>
    <row r="492" spans="10:11" x14ac:dyDescent="0.25">
      <c r="J492">
        <v>487</v>
      </c>
      <c r="K492">
        <v>471095</v>
      </c>
    </row>
    <row r="493" spans="10:11" x14ac:dyDescent="0.25">
      <c r="J493">
        <v>488</v>
      </c>
      <c r="K493">
        <v>1325098</v>
      </c>
    </row>
    <row r="494" spans="10:11" x14ac:dyDescent="0.25">
      <c r="J494">
        <v>489</v>
      </c>
      <c r="K494">
        <v>95238</v>
      </c>
    </row>
    <row r="495" spans="10:11" x14ac:dyDescent="0.25">
      <c r="J495">
        <v>490</v>
      </c>
      <c r="K495">
        <v>313716</v>
      </c>
    </row>
    <row r="496" spans="10:11" x14ac:dyDescent="0.25">
      <c r="J496">
        <v>491</v>
      </c>
      <c r="K496">
        <v>246620</v>
      </c>
    </row>
    <row r="497" spans="10:11" x14ac:dyDescent="0.25">
      <c r="J497">
        <v>492</v>
      </c>
      <c r="K497">
        <v>190480</v>
      </c>
    </row>
    <row r="498" spans="10:11" x14ac:dyDescent="0.25">
      <c r="J498">
        <v>493</v>
      </c>
      <c r="K498">
        <v>613276</v>
      </c>
    </row>
    <row r="499" spans="10:11" x14ac:dyDescent="0.25">
      <c r="J499">
        <v>494</v>
      </c>
      <c r="K499">
        <v>72000</v>
      </c>
    </row>
    <row r="500" spans="10:11" x14ac:dyDescent="0.25">
      <c r="J500">
        <v>495</v>
      </c>
      <c r="K500">
        <v>228580</v>
      </c>
    </row>
    <row r="501" spans="10:11" x14ac:dyDescent="0.25">
      <c r="J501">
        <v>496</v>
      </c>
      <c r="K501">
        <v>13450</v>
      </c>
    </row>
    <row r="502" spans="10:11" x14ac:dyDescent="0.25">
      <c r="J502">
        <v>497</v>
      </c>
      <c r="K502">
        <v>313712</v>
      </c>
    </row>
    <row r="503" spans="10:11" x14ac:dyDescent="0.25">
      <c r="J503">
        <v>498</v>
      </c>
      <c r="K503">
        <v>243575</v>
      </c>
    </row>
    <row r="504" spans="10:11" x14ac:dyDescent="0.25">
      <c r="J504">
        <v>499</v>
      </c>
      <c r="K504">
        <v>252478</v>
      </c>
    </row>
    <row r="505" spans="10:11" x14ac:dyDescent="0.25">
      <c r="J505">
        <v>500</v>
      </c>
      <c r="K505">
        <v>667857</v>
      </c>
    </row>
    <row r="506" spans="10:11" x14ac:dyDescent="0.25">
      <c r="J506">
        <v>501</v>
      </c>
      <c r="K506">
        <v>532698</v>
      </c>
    </row>
    <row r="507" spans="10:11" x14ac:dyDescent="0.25">
      <c r="J507">
        <v>502</v>
      </c>
      <c r="K507">
        <v>619060</v>
      </c>
    </row>
    <row r="508" spans="10:11" x14ac:dyDescent="0.25">
      <c r="J508">
        <v>503</v>
      </c>
      <c r="K508">
        <v>457143</v>
      </c>
    </row>
    <row r="509" spans="10:11" x14ac:dyDescent="0.25">
      <c r="J509">
        <v>504</v>
      </c>
      <c r="K509">
        <v>315575</v>
      </c>
    </row>
    <row r="510" spans="10:11" x14ac:dyDescent="0.25">
      <c r="J510">
        <v>505</v>
      </c>
      <c r="K510">
        <v>1082471</v>
      </c>
    </row>
    <row r="511" spans="10:11" x14ac:dyDescent="0.25">
      <c r="J511">
        <v>506</v>
      </c>
      <c r="K511">
        <v>183198</v>
      </c>
    </row>
    <row r="512" spans="10:11" x14ac:dyDescent="0.25">
      <c r="J512">
        <v>507</v>
      </c>
      <c r="K512">
        <v>292892</v>
      </c>
    </row>
    <row r="513" spans="10:11" x14ac:dyDescent="0.25">
      <c r="J513">
        <v>508</v>
      </c>
      <c r="K513">
        <v>100125</v>
      </c>
    </row>
    <row r="514" spans="10:11" x14ac:dyDescent="0.25">
      <c r="J514">
        <v>509</v>
      </c>
      <c r="K514">
        <v>190400</v>
      </c>
    </row>
    <row r="515" spans="10:11" x14ac:dyDescent="0.25">
      <c r="J515">
        <v>510</v>
      </c>
      <c r="K515">
        <v>365730</v>
      </c>
    </row>
    <row r="516" spans="10:11" x14ac:dyDescent="0.25">
      <c r="J516">
        <v>511</v>
      </c>
      <c r="K516">
        <v>45000</v>
      </c>
    </row>
    <row r="517" spans="10:11" x14ac:dyDescent="0.25">
      <c r="J517">
        <v>512</v>
      </c>
      <c r="K517">
        <v>55000</v>
      </c>
    </row>
    <row r="518" spans="10:11" x14ac:dyDescent="0.25">
      <c r="J518">
        <v>513</v>
      </c>
      <c r="K518">
        <v>70000</v>
      </c>
    </row>
    <row r="519" spans="10:11" x14ac:dyDescent="0.25">
      <c r="J519">
        <v>514</v>
      </c>
      <c r="K519">
        <v>296790</v>
      </c>
    </row>
    <row r="520" spans="10:11" x14ac:dyDescent="0.25">
      <c r="J520">
        <v>515</v>
      </c>
      <c r="K520">
        <v>301529</v>
      </c>
    </row>
    <row r="521" spans="10:11" x14ac:dyDescent="0.25">
      <c r="J521">
        <v>516</v>
      </c>
      <c r="K521">
        <v>368444</v>
      </c>
    </row>
    <row r="522" spans="10:11" x14ac:dyDescent="0.25">
      <c r="J522">
        <v>517</v>
      </c>
      <c r="K522">
        <v>603362</v>
      </c>
    </row>
    <row r="523" spans="10:11" x14ac:dyDescent="0.25">
      <c r="J523">
        <v>518</v>
      </c>
      <c r="K523">
        <v>480061</v>
      </c>
    </row>
    <row r="524" spans="10:11" x14ac:dyDescent="0.25">
      <c r="J524">
        <v>519</v>
      </c>
      <c r="K524">
        <v>679910</v>
      </c>
    </row>
    <row r="525" spans="10:11" x14ac:dyDescent="0.25">
      <c r="J525">
        <v>520</v>
      </c>
      <c r="K525">
        <v>1067000</v>
      </c>
    </row>
    <row r="526" spans="10:11" x14ac:dyDescent="0.25">
      <c r="J526">
        <v>521</v>
      </c>
      <c r="K526">
        <v>860175</v>
      </c>
    </row>
    <row r="527" spans="10:11" x14ac:dyDescent="0.25">
      <c r="J527">
        <v>522</v>
      </c>
      <c r="K527">
        <v>1446956</v>
      </c>
    </row>
    <row r="528" spans="10:11" x14ac:dyDescent="0.25">
      <c r="J528">
        <v>523</v>
      </c>
      <c r="K528">
        <v>987925</v>
      </c>
    </row>
    <row r="529" spans="10:11" x14ac:dyDescent="0.25">
      <c r="J529">
        <v>524</v>
      </c>
      <c r="K529">
        <v>688257</v>
      </c>
    </row>
    <row r="530" spans="10:11" x14ac:dyDescent="0.25">
      <c r="J530">
        <v>525</v>
      </c>
      <c r="K530">
        <v>66857</v>
      </c>
    </row>
    <row r="531" spans="10:11" x14ac:dyDescent="0.25">
      <c r="J531">
        <v>526</v>
      </c>
      <c r="K531">
        <v>231867</v>
      </c>
    </row>
    <row r="532" spans="10:11" x14ac:dyDescent="0.25">
      <c r="J532">
        <v>527</v>
      </c>
      <c r="K532">
        <v>808857</v>
      </c>
    </row>
    <row r="533" spans="10:11" x14ac:dyDescent="0.25">
      <c r="J533">
        <v>528</v>
      </c>
      <c r="K533">
        <v>274620</v>
      </c>
    </row>
    <row r="534" spans="10:11" x14ac:dyDescent="0.25">
      <c r="J534">
        <v>529</v>
      </c>
      <c r="K534">
        <v>182150</v>
      </c>
    </row>
    <row r="535" spans="10:11" x14ac:dyDescent="0.25">
      <c r="J535">
        <v>530</v>
      </c>
      <c r="K535">
        <v>334284</v>
      </c>
    </row>
    <row r="536" spans="10:11" x14ac:dyDescent="0.25">
      <c r="J536">
        <v>531</v>
      </c>
      <c r="K536">
        <v>825806</v>
      </c>
    </row>
    <row r="537" spans="10:11" x14ac:dyDescent="0.25">
      <c r="J537">
        <v>532</v>
      </c>
      <c r="K537">
        <v>174800</v>
      </c>
    </row>
    <row r="538" spans="10:11" x14ac:dyDescent="0.25">
      <c r="J538">
        <v>533</v>
      </c>
      <c r="K538">
        <v>389637</v>
      </c>
    </row>
    <row r="539" spans="10:11" x14ac:dyDescent="0.25">
      <c r="J539">
        <v>534</v>
      </c>
      <c r="K539">
        <v>82336</v>
      </c>
    </row>
    <row r="540" spans="10:11" x14ac:dyDescent="0.25">
      <c r="J540">
        <v>535</v>
      </c>
      <c r="K540">
        <v>649070</v>
      </c>
    </row>
    <row r="541" spans="10:11" x14ac:dyDescent="0.25">
      <c r="J541">
        <v>536</v>
      </c>
      <c r="K541">
        <v>78208</v>
      </c>
    </row>
    <row r="542" spans="10:11" x14ac:dyDescent="0.25">
      <c r="J542">
        <v>537</v>
      </c>
      <c r="K542">
        <v>315720</v>
      </c>
    </row>
    <row r="543" spans="10:11" x14ac:dyDescent="0.25">
      <c r="J543">
        <v>538</v>
      </c>
      <c r="K543">
        <v>691874</v>
      </c>
    </row>
    <row r="544" spans="10:11" x14ac:dyDescent="0.25">
      <c r="J544">
        <v>539</v>
      </c>
      <c r="K544">
        <v>412381</v>
      </c>
    </row>
    <row r="545" spans="10:12" x14ac:dyDescent="0.25">
      <c r="J545">
        <v>540</v>
      </c>
      <c r="K545">
        <v>46800</v>
      </c>
    </row>
    <row r="546" spans="10:12" x14ac:dyDescent="0.25">
      <c r="J546">
        <v>541</v>
      </c>
      <c r="K546">
        <v>560429</v>
      </c>
    </row>
    <row r="547" spans="10:12" x14ac:dyDescent="0.25">
      <c r="J547">
        <v>542</v>
      </c>
      <c r="K547">
        <v>158661</v>
      </c>
    </row>
    <row r="548" spans="10:12" x14ac:dyDescent="0.25">
      <c r="J548">
        <v>543</v>
      </c>
      <c r="K548">
        <v>213333</v>
      </c>
    </row>
    <row r="549" spans="10:12" x14ac:dyDescent="0.25">
      <c r="J549">
        <v>544</v>
      </c>
      <c r="K549">
        <v>433138</v>
      </c>
    </row>
    <row r="550" spans="10:12" x14ac:dyDescent="0.25">
      <c r="J550">
        <v>545</v>
      </c>
      <c r="K550">
        <v>195859</v>
      </c>
    </row>
    <row r="551" spans="10:12" x14ac:dyDescent="0.25">
      <c r="J551">
        <v>546</v>
      </c>
      <c r="K551">
        <v>596468</v>
      </c>
    </row>
    <row r="552" spans="10:12" x14ac:dyDescent="0.25">
      <c r="J552">
        <v>547</v>
      </c>
      <c r="K552">
        <v>1360476</v>
      </c>
    </row>
    <row r="553" spans="10:12" x14ac:dyDescent="0.25">
      <c r="J553">
        <v>548</v>
      </c>
      <c r="K553">
        <v>139050</v>
      </c>
    </row>
    <row r="554" spans="10:12" x14ac:dyDescent="0.25">
      <c r="J554">
        <v>549</v>
      </c>
      <c r="K554">
        <v>150302</v>
      </c>
    </row>
    <row r="555" spans="10:12" x14ac:dyDescent="0.25">
      <c r="J555">
        <v>550</v>
      </c>
      <c r="K555">
        <v>936476</v>
      </c>
    </row>
    <row r="556" spans="10:12" x14ac:dyDescent="0.25">
      <c r="J556">
        <v>551</v>
      </c>
      <c r="K556">
        <v>277144</v>
      </c>
    </row>
    <row r="557" spans="10:12" x14ac:dyDescent="0.25">
      <c r="J557">
        <v>552</v>
      </c>
      <c r="K557">
        <v>308372</v>
      </c>
    </row>
    <row r="558" spans="10:12" x14ac:dyDescent="0.25">
      <c r="J558">
        <v>553</v>
      </c>
      <c r="K558">
        <v>149999</v>
      </c>
    </row>
    <row r="559" spans="10:12" x14ac:dyDescent="0.25">
      <c r="J559">
        <v>554</v>
      </c>
      <c r="K559">
        <v>110468</v>
      </c>
    </row>
    <row r="560" spans="10:12" x14ac:dyDescent="0.25">
      <c r="J560">
        <v>555</v>
      </c>
      <c r="L560">
        <v>14286</v>
      </c>
    </row>
    <row r="561" spans="10:11" x14ac:dyDescent="0.25">
      <c r="J561">
        <v>556</v>
      </c>
      <c r="K561">
        <v>285371</v>
      </c>
    </row>
    <row r="562" spans="10:11" x14ac:dyDescent="0.25">
      <c r="J562">
        <v>557</v>
      </c>
      <c r="K562">
        <v>765000</v>
      </c>
    </row>
    <row r="563" spans="10:11" x14ac:dyDescent="0.25">
      <c r="J563">
        <v>558</v>
      </c>
      <c r="K563">
        <v>456571</v>
      </c>
    </row>
    <row r="564" spans="10:11" x14ac:dyDescent="0.25">
      <c r="J564">
        <v>559</v>
      </c>
      <c r="K564">
        <v>385532</v>
      </c>
    </row>
    <row r="565" spans="10:11" x14ac:dyDescent="0.25">
      <c r="J565">
        <v>560</v>
      </c>
      <c r="K565">
        <v>368290</v>
      </c>
    </row>
    <row r="566" spans="10:11" x14ac:dyDescent="0.25">
      <c r="J566">
        <v>561</v>
      </c>
      <c r="K566">
        <v>131143</v>
      </c>
    </row>
    <row r="567" spans="10:11" x14ac:dyDescent="0.25">
      <c r="J567">
        <v>562</v>
      </c>
      <c r="K567">
        <v>266195</v>
      </c>
    </row>
    <row r="568" spans="10:11" x14ac:dyDescent="0.25">
      <c r="J568">
        <v>563</v>
      </c>
      <c r="K568">
        <v>400925</v>
      </c>
    </row>
    <row r="569" spans="10:11" x14ac:dyDescent="0.25">
      <c r="J569">
        <v>564</v>
      </c>
      <c r="K569">
        <v>615512</v>
      </c>
    </row>
    <row r="570" spans="10:11" x14ac:dyDescent="0.25">
      <c r="J570">
        <v>565</v>
      </c>
      <c r="K570">
        <v>361619</v>
      </c>
    </row>
    <row r="571" spans="10:11" x14ac:dyDescent="0.25">
      <c r="J571">
        <v>566</v>
      </c>
      <c r="K571">
        <v>194428</v>
      </c>
    </row>
    <row r="572" spans="10:11" x14ac:dyDescent="0.25">
      <c r="J572">
        <v>567</v>
      </c>
      <c r="K572">
        <v>337000</v>
      </c>
    </row>
    <row r="573" spans="10:11" x14ac:dyDescent="0.25">
      <c r="J573">
        <v>568</v>
      </c>
      <c r="K573">
        <v>523810</v>
      </c>
    </row>
    <row r="574" spans="10:11" x14ac:dyDescent="0.25">
      <c r="J574">
        <v>569</v>
      </c>
      <c r="K574">
        <v>303714</v>
      </c>
    </row>
    <row r="575" spans="10:11" x14ac:dyDescent="0.25">
      <c r="J575">
        <v>570</v>
      </c>
      <c r="K575">
        <v>521904</v>
      </c>
    </row>
    <row r="576" spans="10:11" x14ac:dyDescent="0.25">
      <c r="J576">
        <v>571</v>
      </c>
      <c r="K576">
        <v>157525</v>
      </c>
    </row>
    <row r="577" spans="10:11" x14ac:dyDescent="0.25">
      <c r="J577">
        <v>572</v>
      </c>
      <c r="K577">
        <v>476200</v>
      </c>
    </row>
    <row r="578" spans="10:11" x14ac:dyDescent="0.25">
      <c r="J578">
        <v>573</v>
      </c>
      <c r="K578">
        <v>549390</v>
      </c>
    </row>
    <row r="579" spans="10:11" x14ac:dyDescent="0.25">
      <c r="J579">
        <v>574</v>
      </c>
      <c r="K579">
        <v>167049</v>
      </c>
    </row>
    <row r="580" spans="10:11" x14ac:dyDescent="0.25">
      <c r="J580">
        <v>575</v>
      </c>
      <c r="K580">
        <v>99190</v>
      </c>
    </row>
    <row r="581" spans="10:11" x14ac:dyDescent="0.25">
      <c r="J581">
        <v>576</v>
      </c>
      <c r="K581">
        <v>98000</v>
      </c>
    </row>
    <row r="582" spans="10:11" x14ac:dyDescent="0.25">
      <c r="J582">
        <v>577</v>
      </c>
      <c r="K582">
        <v>198571</v>
      </c>
    </row>
    <row r="583" spans="10:11" x14ac:dyDescent="0.25">
      <c r="J583">
        <v>578</v>
      </c>
      <c r="K583">
        <v>10476</v>
      </c>
    </row>
    <row r="584" spans="10:11" x14ac:dyDescent="0.25">
      <c r="J584">
        <v>579</v>
      </c>
      <c r="K584">
        <v>294090</v>
      </c>
    </row>
    <row r="585" spans="10:11" x14ac:dyDescent="0.25">
      <c r="J585">
        <v>580</v>
      </c>
      <c r="K585">
        <v>119048</v>
      </c>
    </row>
    <row r="586" spans="10:11" x14ac:dyDescent="0.25">
      <c r="J586">
        <v>581</v>
      </c>
      <c r="K586">
        <v>182286</v>
      </c>
    </row>
    <row r="587" spans="10:11" x14ac:dyDescent="0.25">
      <c r="J587">
        <v>582</v>
      </c>
      <c r="K587">
        <v>216190</v>
      </c>
    </row>
    <row r="588" spans="10:11" x14ac:dyDescent="0.25">
      <c r="J588">
        <v>583</v>
      </c>
      <c r="K588">
        <v>660489</v>
      </c>
    </row>
    <row r="589" spans="10:11" x14ac:dyDescent="0.25">
      <c r="J589">
        <v>584</v>
      </c>
      <c r="K589">
        <v>239095</v>
      </c>
    </row>
    <row r="590" spans="10:11" x14ac:dyDescent="0.25">
      <c r="J590">
        <v>585</v>
      </c>
      <c r="K590">
        <v>630952</v>
      </c>
    </row>
    <row r="591" spans="10:11" x14ac:dyDescent="0.25">
      <c r="J591">
        <v>586</v>
      </c>
      <c r="K591">
        <v>235239</v>
      </c>
    </row>
    <row r="592" spans="10:11" x14ac:dyDescent="0.25">
      <c r="J592">
        <v>587</v>
      </c>
      <c r="K592">
        <v>147715</v>
      </c>
    </row>
    <row r="593" spans="10:11" x14ac:dyDescent="0.25">
      <c r="J593">
        <v>588</v>
      </c>
      <c r="K593">
        <v>157650</v>
      </c>
    </row>
    <row r="594" spans="10:11" x14ac:dyDescent="0.25">
      <c r="J594">
        <v>589</v>
      </c>
      <c r="K594">
        <v>154763</v>
      </c>
    </row>
    <row r="595" spans="10:11" x14ac:dyDescent="0.25">
      <c r="J595">
        <v>590</v>
      </c>
      <c r="K595">
        <v>372645</v>
      </c>
    </row>
    <row r="596" spans="10:11" x14ac:dyDescent="0.25">
      <c r="J596">
        <v>591</v>
      </c>
      <c r="K596">
        <v>518100</v>
      </c>
    </row>
    <row r="597" spans="10:11" x14ac:dyDescent="0.25">
      <c r="J597">
        <v>592</v>
      </c>
      <c r="K597">
        <v>105238</v>
      </c>
    </row>
    <row r="598" spans="10:11" x14ac:dyDescent="0.25">
      <c r="J598">
        <v>593</v>
      </c>
      <c r="K598">
        <v>437810</v>
      </c>
    </row>
    <row r="599" spans="10:11" x14ac:dyDescent="0.25">
      <c r="J599">
        <v>594</v>
      </c>
      <c r="K599">
        <v>647145</v>
      </c>
    </row>
    <row r="600" spans="10:11" x14ac:dyDescent="0.25">
      <c r="J600">
        <v>595</v>
      </c>
      <c r="K600">
        <v>444323</v>
      </c>
    </row>
    <row r="601" spans="10:11" x14ac:dyDescent="0.25">
      <c r="J601">
        <v>596</v>
      </c>
      <c r="K601">
        <v>678476</v>
      </c>
    </row>
    <row r="602" spans="10:11" x14ac:dyDescent="0.25">
      <c r="J602">
        <v>597</v>
      </c>
      <c r="K602">
        <v>743601</v>
      </c>
    </row>
    <row r="603" spans="10:11" x14ac:dyDescent="0.25">
      <c r="J603">
        <v>598</v>
      </c>
      <c r="K603">
        <v>652858</v>
      </c>
    </row>
    <row r="604" spans="10:11" x14ac:dyDescent="0.25">
      <c r="J604">
        <v>599</v>
      </c>
      <c r="K604">
        <v>672858</v>
      </c>
    </row>
    <row r="605" spans="10:11" x14ac:dyDescent="0.25">
      <c r="J605">
        <v>600</v>
      </c>
      <c r="K605">
        <v>57620</v>
      </c>
    </row>
    <row r="606" spans="10:11" x14ac:dyDescent="0.25">
      <c r="J606">
        <v>601</v>
      </c>
      <c r="K606">
        <v>789952</v>
      </c>
    </row>
    <row r="607" spans="10:11" x14ac:dyDescent="0.25">
      <c r="J607">
        <v>602</v>
      </c>
      <c r="K607">
        <v>342873</v>
      </c>
    </row>
    <row r="608" spans="10:11" x14ac:dyDescent="0.25">
      <c r="J608">
        <v>603</v>
      </c>
      <c r="K608">
        <v>171621</v>
      </c>
    </row>
    <row r="609" spans="10:11" x14ac:dyDescent="0.25">
      <c r="J609">
        <v>604</v>
      </c>
      <c r="K609">
        <v>336000</v>
      </c>
    </row>
    <row r="610" spans="10:11" x14ac:dyDescent="0.25">
      <c r="J610">
        <v>605</v>
      </c>
      <c r="K610">
        <v>886667</v>
      </c>
    </row>
    <row r="611" spans="10:11" x14ac:dyDescent="0.25">
      <c r="J611">
        <v>606</v>
      </c>
      <c r="K611">
        <v>480668</v>
      </c>
    </row>
    <row r="612" spans="10:11" x14ac:dyDescent="0.25">
      <c r="J612">
        <v>607</v>
      </c>
      <c r="K612">
        <v>181906</v>
      </c>
    </row>
    <row r="613" spans="10:11" x14ac:dyDescent="0.25">
      <c r="J613">
        <v>608</v>
      </c>
      <c r="K613">
        <v>790096</v>
      </c>
    </row>
    <row r="614" spans="10:11" x14ac:dyDescent="0.25">
      <c r="J614">
        <v>609</v>
      </c>
      <c r="K614">
        <v>307049</v>
      </c>
    </row>
    <row r="615" spans="10:11" x14ac:dyDescent="0.25">
      <c r="J615">
        <v>610</v>
      </c>
      <c r="K615">
        <v>243810</v>
      </c>
    </row>
    <row r="616" spans="10:11" x14ac:dyDescent="0.25">
      <c r="J616">
        <v>611</v>
      </c>
      <c r="K616">
        <v>80000</v>
      </c>
    </row>
    <row r="617" spans="10:11" x14ac:dyDescent="0.25">
      <c r="J617">
        <v>612</v>
      </c>
      <c r="K617">
        <v>267143</v>
      </c>
    </row>
    <row r="618" spans="10:11" x14ac:dyDescent="0.25">
      <c r="J618">
        <v>613</v>
      </c>
      <c r="K618">
        <v>90476</v>
      </c>
    </row>
    <row r="619" spans="10:11" x14ac:dyDescent="0.25">
      <c r="J619">
        <v>614</v>
      </c>
      <c r="K619">
        <v>482858</v>
      </c>
    </row>
    <row r="620" spans="10:11" x14ac:dyDescent="0.25">
      <c r="J620">
        <v>615</v>
      </c>
      <c r="K620">
        <v>76190</v>
      </c>
    </row>
    <row r="621" spans="10:11" x14ac:dyDescent="0.25">
      <c r="J621">
        <v>616</v>
      </c>
      <c r="K621">
        <v>2037765</v>
      </c>
    </row>
    <row r="622" spans="10:11" x14ac:dyDescent="0.25">
      <c r="J622">
        <v>617</v>
      </c>
      <c r="K622">
        <v>938288</v>
      </c>
    </row>
    <row r="623" spans="10:11" x14ac:dyDescent="0.25">
      <c r="J623">
        <v>618</v>
      </c>
      <c r="K623">
        <v>699950</v>
      </c>
    </row>
    <row r="624" spans="10:11" x14ac:dyDescent="0.25">
      <c r="J624">
        <v>619</v>
      </c>
      <c r="K624">
        <v>1188576</v>
      </c>
    </row>
    <row r="625" spans="10:12" x14ac:dyDescent="0.25">
      <c r="J625">
        <v>620</v>
      </c>
      <c r="K625">
        <v>480000</v>
      </c>
    </row>
    <row r="626" spans="10:12" x14ac:dyDescent="0.25">
      <c r="J626">
        <v>621</v>
      </c>
      <c r="K626">
        <v>446667</v>
      </c>
    </row>
    <row r="627" spans="10:12" x14ac:dyDescent="0.25">
      <c r="J627">
        <v>622</v>
      </c>
      <c r="K627">
        <v>63810</v>
      </c>
    </row>
    <row r="628" spans="10:12" x14ac:dyDescent="0.25">
      <c r="J628">
        <v>623</v>
      </c>
      <c r="K628">
        <v>580190</v>
      </c>
    </row>
    <row r="629" spans="10:12" x14ac:dyDescent="0.25">
      <c r="J629">
        <v>624</v>
      </c>
      <c r="L629">
        <v>2531151</v>
      </c>
    </row>
    <row r="630" spans="10:12" x14ac:dyDescent="0.25">
      <c r="J630">
        <v>625</v>
      </c>
      <c r="K630">
        <v>71428</v>
      </c>
    </row>
    <row r="631" spans="10:12" x14ac:dyDescent="0.25">
      <c r="J631">
        <v>626</v>
      </c>
      <c r="K631">
        <v>221862</v>
      </c>
    </row>
    <row r="632" spans="10:12" x14ac:dyDescent="0.25">
      <c r="J632">
        <v>627</v>
      </c>
      <c r="K632">
        <v>1010667</v>
      </c>
    </row>
    <row r="633" spans="10:12" x14ac:dyDescent="0.25">
      <c r="J633">
        <v>628</v>
      </c>
      <c r="K633">
        <v>2038774</v>
      </c>
    </row>
    <row r="634" spans="10:12" x14ac:dyDescent="0.25">
      <c r="J634">
        <v>629</v>
      </c>
      <c r="K634">
        <v>194191</v>
      </c>
    </row>
    <row r="635" spans="10:12" x14ac:dyDescent="0.25">
      <c r="J635">
        <v>630</v>
      </c>
      <c r="K635">
        <v>247380</v>
      </c>
    </row>
    <row r="636" spans="10:12" x14ac:dyDescent="0.25">
      <c r="J636">
        <v>631</v>
      </c>
      <c r="K636">
        <v>372758</v>
      </c>
    </row>
    <row r="637" spans="10:12" x14ac:dyDescent="0.25">
      <c r="J637">
        <v>632</v>
      </c>
      <c r="K637">
        <v>285702</v>
      </c>
    </row>
    <row r="638" spans="10:12" x14ac:dyDescent="0.25">
      <c r="J638">
        <v>633</v>
      </c>
      <c r="K638">
        <v>978110</v>
      </c>
    </row>
    <row r="639" spans="10:12" x14ac:dyDescent="0.25">
      <c r="J639">
        <v>634</v>
      </c>
      <c r="K639">
        <v>200148</v>
      </c>
    </row>
    <row r="640" spans="10:12" x14ac:dyDescent="0.25">
      <c r="J640">
        <v>635</v>
      </c>
      <c r="K640">
        <v>624174</v>
      </c>
    </row>
    <row r="641" spans="10:11" x14ac:dyDescent="0.25">
      <c r="J641">
        <v>636</v>
      </c>
      <c r="K641">
        <v>350000</v>
      </c>
    </row>
    <row r="642" spans="10:11" x14ac:dyDescent="0.25">
      <c r="J642">
        <v>637</v>
      </c>
      <c r="K642">
        <v>949860</v>
      </c>
    </row>
    <row r="643" spans="10:11" x14ac:dyDescent="0.25">
      <c r="J643">
        <v>638</v>
      </c>
      <c r="K643">
        <v>799431</v>
      </c>
    </row>
    <row r="644" spans="10:11" x14ac:dyDescent="0.25">
      <c r="J644">
        <v>639</v>
      </c>
      <c r="K644">
        <v>89572</v>
      </c>
    </row>
    <row r="645" spans="10:11" x14ac:dyDescent="0.25">
      <c r="J645">
        <v>640</v>
      </c>
      <c r="K645">
        <v>368985</v>
      </c>
    </row>
    <row r="646" spans="10:11" x14ac:dyDescent="0.25">
      <c r="J646">
        <v>641</v>
      </c>
      <c r="K646">
        <v>273619</v>
      </c>
    </row>
    <row r="647" spans="10:11" x14ac:dyDescent="0.25">
      <c r="J647">
        <v>642</v>
      </c>
      <c r="K647">
        <v>330952</v>
      </c>
    </row>
    <row r="648" spans="10:11" x14ac:dyDescent="0.25">
      <c r="J648">
        <v>643</v>
      </c>
      <c r="K648">
        <v>105714</v>
      </c>
    </row>
    <row r="649" spans="10:11" x14ac:dyDescent="0.25">
      <c r="J649">
        <v>644</v>
      </c>
      <c r="K649">
        <v>352400</v>
      </c>
    </row>
    <row r="650" spans="10:11" x14ac:dyDescent="0.25">
      <c r="J650">
        <v>645</v>
      </c>
      <c r="K650">
        <v>212850</v>
      </c>
    </row>
    <row r="651" spans="10:11" x14ac:dyDescent="0.25">
      <c r="J651">
        <v>646</v>
      </c>
      <c r="K651">
        <v>1679920</v>
      </c>
    </row>
    <row r="652" spans="10:11" x14ac:dyDescent="0.25">
      <c r="J652">
        <v>647</v>
      </c>
      <c r="K652">
        <v>376200</v>
      </c>
    </row>
    <row r="653" spans="10:11" x14ac:dyDescent="0.25">
      <c r="J653">
        <v>648</v>
      </c>
      <c r="K653">
        <v>312885</v>
      </c>
    </row>
    <row r="654" spans="10:11" x14ac:dyDescent="0.25">
      <c r="J654">
        <v>649</v>
      </c>
      <c r="K654">
        <v>141900</v>
      </c>
    </row>
    <row r="655" spans="10:11" x14ac:dyDescent="0.25">
      <c r="J655">
        <v>650</v>
      </c>
      <c r="K655">
        <v>1436180</v>
      </c>
    </row>
    <row r="656" spans="10:11" x14ac:dyDescent="0.25">
      <c r="J656">
        <v>651</v>
      </c>
      <c r="K656">
        <v>382584</v>
      </c>
    </row>
    <row r="657" spans="10:12" x14ac:dyDescent="0.25">
      <c r="J657">
        <v>652</v>
      </c>
      <c r="K657">
        <v>1142661</v>
      </c>
    </row>
    <row r="658" spans="10:12" x14ac:dyDescent="0.25">
      <c r="J658">
        <v>653</v>
      </c>
      <c r="K658">
        <v>279520</v>
      </c>
    </row>
    <row r="659" spans="10:12" x14ac:dyDescent="0.25">
      <c r="J659">
        <v>654</v>
      </c>
      <c r="K659">
        <v>274858</v>
      </c>
    </row>
    <row r="660" spans="10:12" x14ac:dyDescent="0.25">
      <c r="J660">
        <v>655</v>
      </c>
      <c r="K660">
        <v>1062667</v>
      </c>
    </row>
    <row r="661" spans="10:12" x14ac:dyDescent="0.25">
      <c r="J661">
        <v>656</v>
      </c>
      <c r="K661">
        <v>1190572</v>
      </c>
    </row>
    <row r="662" spans="10:12" x14ac:dyDescent="0.25">
      <c r="J662">
        <v>657</v>
      </c>
      <c r="K662">
        <v>396048</v>
      </c>
    </row>
    <row r="663" spans="10:12" x14ac:dyDescent="0.25">
      <c r="J663">
        <v>658</v>
      </c>
      <c r="K663">
        <v>958716</v>
      </c>
    </row>
    <row r="664" spans="10:12" x14ac:dyDescent="0.25">
      <c r="J664">
        <v>659</v>
      </c>
      <c r="K664">
        <v>224575</v>
      </c>
    </row>
    <row r="665" spans="10:12" x14ac:dyDescent="0.25">
      <c r="J665">
        <v>660</v>
      </c>
      <c r="K665">
        <v>539238</v>
      </c>
    </row>
    <row r="666" spans="10:12" x14ac:dyDescent="0.25">
      <c r="J666">
        <v>661</v>
      </c>
      <c r="K666">
        <v>636666</v>
      </c>
    </row>
    <row r="667" spans="10:12" x14ac:dyDescent="0.25">
      <c r="J667">
        <v>662</v>
      </c>
      <c r="K667">
        <v>1264858</v>
      </c>
    </row>
    <row r="668" spans="10:12" x14ac:dyDescent="0.25">
      <c r="J668">
        <v>663</v>
      </c>
      <c r="K668">
        <v>1240150</v>
      </c>
    </row>
    <row r="669" spans="10:12" x14ac:dyDescent="0.25">
      <c r="J669">
        <v>664</v>
      </c>
      <c r="K669">
        <v>458092</v>
      </c>
    </row>
    <row r="670" spans="10:12" x14ac:dyDescent="0.25">
      <c r="J670">
        <v>665</v>
      </c>
      <c r="K670">
        <v>660015</v>
      </c>
    </row>
    <row r="671" spans="10:12" x14ac:dyDescent="0.25">
      <c r="J671">
        <v>666</v>
      </c>
      <c r="K671">
        <v>598095</v>
      </c>
    </row>
    <row r="672" spans="10:12" x14ac:dyDescent="0.25">
      <c r="J672">
        <v>667</v>
      </c>
      <c r="L672">
        <v>2197719</v>
      </c>
    </row>
    <row r="673" spans="10:11" x14ac:dyDescent="0.25">
      <c r="J673">
        <v>668</v>
      </c>
      <c r="K673">
        <v>313143</v>
      </c>
    </row>
    <row r="674" spans="10:11" x14ac:dyDescent="0.25">
      <c r="J674">
        <v>669</v>
      </c>
      <c r="K674">
        <v>1416333</v>
      </c>
    </row>
    <row r="675" spans="10:11" x14ac:dyDescent="0.25">
      <c r="J675">
        <v>670</v>
      </c>
      <c r="K675">
        <v>890952</v>
      </c>
    </row>
    <row r="676" spans="10:11" x14ac:dyDescent="0.25">
      <c r="J676">
        <v>671</v>
      </c>
      <c r="K676">
        <v>285095</v>
      </c>
    </row>
    <row r="677" spans="10:11" x14ac:dyDescent="0.25">
      <c r="J677">
        <v>672</v>
      </c>
      <c r="K677">
        <v>185714</v>
      </c>
    </row>
    <row r="678" spans="10:11" x14ac:dyDescent="0.25">
      <c r="J678">
        <v>673</v>
      </c>
      <c r="K678">
        <v>337714</v>
      </c>
    </row>
    <row r="679" spans="10:11" x14ac:dyDescent="0.25">
      <c r="J679">
        <v>674</v>
      </c>
      <c r="K679">
        <v>428400</v>
      </c>
    </row>
    <row r="680" spans="10:11" x14ac:dyDescent="0.25">
      <c r="J680">
        <v>675</v>
      </c>
      <c r="K680">
        <v>373810</v>
      </c>
    </row>
    <row r="681" spans="10:11" x14ac:dyDescent="0.25">
      <c r="J681">
        <v>676</v>
      </c>
      <c r="K681">
        <v>905714</v>
      </c>
    </row>
    <row r="682" spans="10:11" x14ac:dyDescent="0.25">
      <c r="J682">
        <v>677</v>
      </c>
      <c r="K682">
        <v>386381</v>
      </c>
    </row>
    <row r="683" spans="10:11" x14ac:dyDescent="0.25">
      <c r="J683">
        <v>678</v>
      </c>
      <c r="K683">
        <v>680334</v>
      </c>
    </row>
    <row r="684" spans="10:11" x14ac:dyDescent="0.25">
      <c r="J684">
        <v>679</v>
      </c>
      <c r="K684">
        <v>62495</v>
      </c>
    </row>
    <row r="685" spans="10:11" x14ac:dyDescent="0.25">
      <c r="J685">
        <v>680</v>
      </c>
      <c r="K685">
        <v>557143</v>
      </c>
    </row>
    <row r="686" spans="10:11" x14ac:dyDescent="0.25">
      <c r="J686">
        <v>681</v>
      </c>
      <c r="K686">
        <v>819524</v>
      </c>
    </row>
    <row r="687" spans="10:11" x14ac:dyDescent="0.25">
      <c r="J687">
        <v>682</v>
      </c>
      <c r="K687">
        <v>711667</v>
      </c>
    </row>
    <row r="688" spans="10:11" x14ac:dyDescent="0.25">
      <c r="J688">
        <v>683</v>
      </c>
      <c r="K688">
        <v>578571</v>
      </c>
    </row>
    <row r="689" spans="10:11" x14ac:dyDescent="0.25">
      <c r="J689">
        <v>684</v>
      </c>
      <c r="K689">
        <v>465714</v>
      </c>
    </row>
    <row r="690" spans="10:11" x14ac:dyDescent="0.25">
      <c r="J690">
        <v>685</v>
      </c>
      <c r="K690">
        <v>902762</v>
      </c>
    </row>
    <row r="691" spans="10:11" x14ac:dyDescent="0.25">
      <c r="J691">
        <v>686</v>
      </c>
      <c r="K691">
        <v>1047450</v>
      </c>
    </row>
    <row r="692" spans="10:11" x14ac:dyDescent="0.25">
      <c r="J692">
        <v>687</v>
      </c>
      <c r="K692">
        <v>352381</v>
      </c>
    </row>
    <row r="693" spans="10:11" x14ac:dyDescent="0.25">
      <c r="J693">
        <v>688</v>
      </c>
      <c r="K693">
        <v>455609</v>
      </c>
    </row>
    <row r="694" spans="10:11" x14ac:dyDescent="0.25">
      <c r="J694">
        <v>689</v>
      </c>
      <c r="K694">
        <v>1092996</v>
      </c>
    </row>
    <row r="695" spans="10:11" x14ac:dyDescent="0.25">
      <c r="J695">
        <v>690</v>
      </c>
      <c r="K695">
        <v>271670</v>
      </c>
    </row>
    <row r="696" spans="10:11" x14ac:dyDescent="0.25">
      <c r="J696">
        <v>691</v>
      </c>
      <c r="K696">
        <v>198095</v>
      </c>
    </row>
    <row r="697" spans="10:11" x14ac:dyDescent="0.25">
      <c r="J697">
        <v>692</v>
      </c>
      <c r="K697">
        <v>283810</v>
      </c>
    </row>
    <row r="698" spans="10:11" x14ac:dyDescent="0.25">
      <c r="J698">
        <v>693</v>
      </c>
      <c r="K698">
        <v>233143</v>
      </c>
    </row>
    <row r="699" spans="10:11" x14ac:dyDescent="0.25">
      <c r="J699">
        <v>694</v>
      </c>
      <c r="K699">
        <v>354750</v>
      </c>
    </row>
    <row r="700" spans="10:11" x14ac:dyDescent="0.25">
      <c r="J700">
        <v>695</v>
      </c>
      <c r="K700">
        <v>397140</v>
      </c>
    </row>
    <row r="701" spans="10:11" x14ac:dyDescent="0.25">
      <c r="J701">
        <v>696</v>
      </c>
      <c r="K701">
        <v>1014190</v>
      </c>
    </row>
    <row r="702" spans="10:11" x14ac:dyDescent="0.25">
      <c r="J702">
        <v>697</v>
      </c>
      <c r="K702">
        <v>589200</v>
      </c>
    </row>
    <row r="703" spans="10:11" x14ac:dyDescent="0.25">
      <c r="J703">
        <v>698</v>
      </c>
      <c r="K703">
        <v>548796</v>
      </c>
    </row>
    <row r="704" spans="10:11" x14ac:dyDescent="0.25">
      <c r="J704">
        <v>699</v>
      </c>
      <c r="K704">
        <v>352381</v>
      </c>
    </row>
    <row r="705" spans="10:12" x14ac:dyDescent="0.25">
      <c r="J705">
        <v>700</v>
      </c>
      <c r="K705">
        <v>587095</v>
      </c>
    </row>
    <row r="706" spans="10:12" x14ac:dyDescent="0.25">
      <c r="J706">
        <v>701</v>
      </c>
      <c r="K706">
        <v>263405</v>
      </c>
    </row>
    <row r="707" spans="10:12" x14ac:dyDescent="0.25">
      <c r="J707">
        <v>702</v>
      </c>
      <c r="K707">
        <v>140960</v>
      </c>
    </row>
    <row r="708" spans="10:12" x14ac:dyDescent="0.25">
      <c r="J708">
        <v>703</v>
      </c>
      <c r="K708">
        <v>401736</v>
      </c>
    </row>
    <row r="709" spans="10:12" x14ac:dyDescent="0.25">
      <c r="J709">
        <v>704</v>
      </c>
      <c r="K709">
        <v>1832381</v>
      </c>
    </row>
    <row r="710" spans="10:12" x14ac:dyDescent="0.25">
      <c r="J710">
        <v>705</v>
      </c>
      <c r="K710">
        <v>30375</v>
      </c>
    </row>
    <row r="711" spans="10:12" x14ac:dyDescent="0.25">
      <c r="J711">
        <v>706</v>
      </c>
      <c r="K711">
        <v>222858</v>
      </c>
    </row>
    <row r="712" spans="10:12" x14ac:dyDescent="0.25">
      <c r="J712">
        <v>707</v>
      </c>
      <c r="K712">
        <v>438095</v>
      </c>
    </row>
    <row r="713" spans="10:12" x14ac:dyDescent="0.25">
      <c r="J713">
        <v>708</v>
      </c>
      <c r="K713">
        <v>2770608</v>
      </c>
    </row>
    <row r="714" spans="10:12" x14ac:dyDescent="0.25">
      <c r="J714">
        <v>709</v>
      </c>
      <c r="K714">
        <v>3420772</v>
      </c>
    </row>
    <row r="715" spans="10:12" x14ac:dyDescent="0.25">
      <c r="J715">
        <v>710</v>
      </c>
      <c r="K715">
        <v>251800</v>
      </c>
    </row>
    <row r="716" spans="10:12" x14ac:dyDescent="0.25">
      <c r="J716">
        <v>711</v>
      </c>
      <c r="K716">
        <v>2966188</v>
      </c>
    </row>
    <row r="717" spans="10:12" x14ac:dyDescent="0.25">
      <c r="J717">
        <v>712</v>
      </c>
      <c r="K717">
        <v>2840996</v>
      </c>
    </row>
    <row r="718" spans="10:12" x14ac:dyDescent="0.25">
      <c r="J718">
        <v>713</v>
      </c>
      <c r="K718">
        <v>468914</v>
      </c>
    </row>
    <row r="719" spans="10:12" x14ac:dyDescent="0.25">
      <c r="J719">
        <v>714</v>
      </c>
      <c r="L719">
        <v>14578</v>
      </c>
    </row>
    <row r="720" spans="10:12" x14ac:dyDescent="0.25">
      <c r="J720">
        <v>715</v>
      </c>
      <c r="K720">
        <v>1611430</v>
      </c>
    </row>
    <row r="721" spans="10:11" x14ac:dyDescent="0.25">
      <c r="J721">
        <v>716</v>
      </c>
      <c r="K721">
        <v>238100</v>
      </c>
    </row>
    <row r="722" spans="10:11" x14ac:dyDescent="0.25">
      <c r="J722">
        <v>717</v>
      </c>
      <c r="K722">
        <v>666593</v>
      </c>
    </row>
    <row r="723" spans="10:11" x14ac:dyDescent="0.25">
      <c r="J723">
        <v>718</v>
      </c>
      <c r="K723">
        <v>3033058</v>
      </c>
    </row>
    <row r="724" spans="10:11" x14ac:dyDescent="0.25">
      <c r="J724">
        <v>719</v>
      </c>
      <c r="K724">
        <v>3680842</v>
      </c>
    </row>
    <row r="725" spans="10:11" x14ac:dyDescent="0.25">
      <c r="J725">
        <v>720</v>
      </c>
      <c r="K725">
        <v>935238</v>
      </c>
    </row>
    <row r="726" spans="10:11" x14ac:dyDescent="0.25">
      <c r="J726">
        <v>721</v>
      </c>
      <c r="K726">
        <v>373376</v>
      </c>
    </row>
    <row r="727" spans="10:11" x14ac:dyDescent="0.25">
      <c r="J727">
        <v>722</v>
      </c>
      <c r="K727">
        <v>508190</v>
      </c>
    </row>
    <row r="728" spans="10:11" x14ac:dyDescent="0.25">
      <c r="J728">
        <v>723</v>
      </c>
      <c r="K728">
        <v>230857</v>
      </c>
    </row>
    <row r="729" spans="10:11" x14ac:dyDescent="0.25">
      <c r="J729">
        <v>724</v>
      </c>
      <c r="K729">
        <v>445720</v>
      </c>
    </row>
    <row r="730" spans="10:11" x14ac:dyDescent="0.25">
      <c r="J730">
        <v>725</v>
      </c>
      <c r="K730">
        <v>476190</v>
      </c>
    </row>
    <row r="731" spans="10:11" x14ac:dyDescent="0.25">
      <c r="J731">
        <v>726</v>
      </c>
      <c r="K731">
        <v>401905</v>
      </c>
    </row>
    <row r="732" spans="10:11" x14ac:dyDescent="0.25">
      <c r="J732">
        <v>727</v>
      </c>
      <c r="K732">
        <v>285705</v>
      </c>
    </row>
    <row r="733" spans="10:11" x14ac:dyDescent="0.25">
      <c r="J733">
        <v>728</v>
      </c>
      <c r="K733">
        <v>469526</v>
      </c>
    </row>
    <row r="734" spans="10:11" x14ac:dyDescent="0.25">
      <c r="J734">
        <v>729</v>
      </c>
      <c r="K734">
        <v>1116667</v>
      </c>
    </row>
    <row r="735" spans="10:11" x14ac:dyDescent="0.25">
      <c r="J735">
        <v>730</v>
      </c>
      <c r="K735">
        <v>91200</v>
      </c>
    </row>
    <row r="736" spans="10:11" x14ac:dyDescent="0.25">
      <c r="J736">
        <v>731</v>
      </c>
      <c r="K736">
        <v>564106</v>
      </c>
    </row>
    <row r="737" spans="10:12" x14ac:dyDescent="0.25">
      <c r="J737">
        <v>732</v>
      </c>
      <c r="K737">
        <v>880852</v>
      </c>
    </row>
    <row r="738" spans="10:12" x14ac:dyDescent="0.25">
      <c r="J738">
        <v>733</v>
      </c>
      <c r="K738">
        <v>26100</v>
      </c>
    </row>
    <row r="739" spans="10:12" x14ac:dyDescent="0.25">
      <c r="J739">
        <v>734</v>
      </c>
      <c r="K739">
        <v>26100</v>
      </c>
    </row>
    <row r="740" spans="10:12" x14ac:dyDescent="0.25">
      <c r="J740">
        <v>735</v>
      </c>
      <c r="L740">
        <v>1907</v>
      </c>
    </row>
    <row r="741" spans="10:12" x14ac:dyDescent="0.25">
      <c r="J741">
        <v>736</v>
      </c>
      <c r="K741">
        <v>209048</v>
      </c>
    </row>
    <row r="742" spans="10:12" x14ac:dyDescent="0.25">
      <c r="J742">
        <v>737</v>
      </c>
      <c r="K742">
        <v>1622878</v>
      </c>
    </row>
    <row r="743" spans="10:12" x14ac:dyDescent="0.25">
      <c r="J743">
        <v>738</v>
      </c>
      <c r="K743">
        <v>421524</v>
      </c>
    </row>
    <row r="744" spans="10:12" x14ac:dyDescent="0.25">
      <c r="J744">
        <v>739</v>
      </c>
      <c r="K744">
        <v>114572</v>
      </c>
    </row>
    <row r="745" spans="10:12" x14ac:dyDescent="0.25">
      <c r="J745">
        <v>740</v>
      </c>
      <c r="K745">
        <v>333600</v>
      </c>
    </row>
    <row r="746" spans="10:12" x14ac:dyDescent="0.25">
      <c r="J746">
        <v>741</v>
      </c>
      <c r="K746">
        <v>761667</v>
      </c>
    </row>
    <row r="747" spans="10:12" x14ac:dyDescent="0.25">
      <c r="J747">
        <v>742</v>
      </c>
      <c r="K747">
        <v>1294800</v>
      </c>
    </row>
    <row r="748" spans="10:12" x14ac:dyDescent="0.25">
      <c r="J748">
        <v>743</v>
      </c>
      <c r="K748">
        <v>381000</v>
      </c>
    </row>
    <row r="749" spans="10:12" x14ac:dyDescent="0.25">
      <c r="J749">
        <v>744</v>
      </c>
      <c r="K749">
        <v>665000</v>
      </c>
    </row>
    <row r="750" spans="10:12" x14ac:dyDescent="0.25">
      <c r="J750">
        <v>745</v>
      </c>
      <c r="K750">
        <v>202381</v>
      </c>
    </row>
    <row r="751" spans="10:12" x14ac:dyDescent="0.25">
      <c r="J751">
        <v>746</v>
      </c>
      <c r="K751">
        <v>200000</v>
      </c>
    </row>
    <row r="752" spans="10:12" x14ac:dyDescent="0.25">
      <c r="J752">
        <v>747</v>
      </c>
      <c r="K752">
        <v>439498</v>
      </c>
    </row>
    <row r="753" spans="10:12" x14ac:dyDescent="0.25">
      <c r="J753">
        <v>748</v>
      </c>
      <c r="K753">
        <v>51238</v>
      </c>
    </row>
    <row r="754" spans="10:12" x14ac:dyDescent="0.25">
      <c r="J754">
        <v>749</v>
      </c>
      <c r="K754">
        <v>76191</v>
      </c>
    </row>
    <row r="755" spans="10:12" x14ac:dyDescent="0.25">
      <c r="J755">
        <v>750</v>
      </c>
      <c r="K755">
        <v>809523</v>
      </c>
    </row>
    <row r="756" spans="10:12" x14ac:dyDescent="0.25">
      <c r="J756">
        <v>751</v>
      </c>
      <c r="K756">
        <v>619063</v>
      </c>
    </row>
    <row r="757" spans="10:12" x14ac:dyDescent="0.25">
      <c r="J757">
        <v>752</v>
      </c>
      <c r="L757">
        <v>10000</v>
      </c>
    </row>
    <row r="758" spans="10:12" x14ac:dyDescent="0.25">
      <c r="J758">
        <v>753</v>
      </c>
      <c r="K758">
        <v>786791</v>
      </c>
    </row>
    <row r="759" spans="10:12" x14ac:dyDescent="0.25">
      <c r="J759">
        <v>754</v>
      </c>
      <c r="K759">
        <v>709239</v>
      </c>
    </row>
    <row r="760" spans="10:12" x14ac:dyDescent="0.25">
      <c r="J760">
        <v>755</v>
      </c>
      <c r="K760">
        <v>546667</v>
      </c>
    </row>
    <row r="761" spans="10:12" x14ac:dyDescent="0.25">
      <c r="J761">
        <v>756</v>
      </c>
      <c r="K761">
        <v>336965</v>
      </c>
    </row>
    <row r="762" spans="10:12" x14ac:dyDescent="0.25">
      <c r="J762">
        <v>757</v>
      </c>
      <c r="K762">
        <v>942857</v>
      </c>
    </row>
    <row r="763" spans="10:12" x14ac:dyDescent="0.25">
      <c r="J763">
        <v>758</v>
      </c>
      <c r="K763">
        <v>475424</v>
      </c>
    </row>
    <row r="764" spans="10:12" x14ac:dyDescent="0.25">
      <c r="J764">
        <v>759</v>
      </c>
      <c r="K764">
        <v>1094001</v>
      </c>
    </row>
    <row r="765" spans="10:12" x14ac:dyDescent="0.25">
      <c r="J765">
        <v>760</v>
      </c>
      <c r="K765">
        <v>95238</v>
      </c>
    </row>
    <row r="766" spans="10:12" x14ac:dyDescent="0.25">
      <c r="J766">
        <v>761</v>
      </c>
      <c r="K766">
        <v>95240</v>
      </c>
    </row>
    <row r="767" spans="10:12" x14ac:dyDescent="0.25">
      <c r="J767">
        <v>762</v>
      </c>
      <c r="K767">
        <v>156975</v>
      </c>
    </row>
    <row r="768" spans="10:12" x14ac:dyDescent="0.25">
      <c r="J768">
        <v>763</v>
      </c>
      <c r="K768">
        <v>103958</v>
      </c>
    </row>
    <row r="769" spans="10:12" x14ac:dyDescent="0.25">
      <c r="J769">
        <v>764</v>
      </c>
      <c r="K769">
        <v>428190</v>
      </c>
    </row>
    <row r="770" spans="10:12" x14ac:dyDescent="0.25">
      <c r="J770">
        <v>765</v>
      </c>
      <c r="K770">
        <v>737924</v>
      </c>
    </row>
    <row r="771" spans="10:12" x14ac:dyDescent="0.25">
      <c r="J771">
        <v>766</v>
      </c>
      <c r="L771">
        <v>3035</v>
      </c>
    </row>
    <row r="772" spans="10:12" x14ac:dyDescent="0.25">
      <c r="J772">
        <v>767</v>
      </c>
      <c r="K772">
        <v>3520560</v>
      </c>
    </row>
    <row r="773" spans="10:12" x14ac:dyDescent="0.25">
      <c r="J773">
        <v>768</v>
      </c>
      <c r="K773">
        <v>2703125</v>
      </c>
    </row>
    <row r="774" spans="10:12" x14ac:dyDescent="0.25">
      <c r="J774">
        <v>769</v>
      </c>
      <c r="K774">
        <v>261905</v>
      </c>
    </row>
    <row r="775" spans="10:12" x14ac:dyDescent="0.25">
      <c r="J775">
        <v>770</v>
      </c>
      <c r="K775">
        <v>392476</v>
      </c>
    </row>
    <row r="776" spans="10:12" x14ac:dyDescent="0.25">
      <c r="J776">
        <v>771</v>
      </c>
      <c r="K776">
        <v>2887500</v>
      </c>
    </row>
    <row r="777" spans="10:12" x14ac:dyDescent="0.25">
      <c r="J777">
        <v>772</v>
      </c>
      <c r="K777">
        <v>552384</v>
      </c>
    </row>
    <row r="778" spans="10:12" x14ac:dyDescent="0.25">
      <c r="J778">
        <v>773</v>
      </c>
      <c r="K778">
        <v>288000</v>
      </c>
    </row>
    <row r="779" spans="10:12" x14ac:dyDescent="0.25">
      <c r="J779">
        <v>774</v>
      </c>
      <c r="K779">
        <v>240000</v>
      </c>
    </row>
    <row r="780" spans="10:12" x14ac:dyDescent="0.25">
      <c r="J780">
        <v>775</v>
      </c>
      <c r="K780">
        <v>1104144</v>
      </c>
    </row>
    <row r="781" spans="10:12" x14ac:dyDescent="0.25">
      <c r="J781">
        <v>776</v>
      </c>
      <c r="K781">
        <v>285714</v>
      </c>
    </row>
    <row r="782" spans="10:12" x14ac:dyDescent="0.25">
      <c r="J782">
        <v>777</v>
      </c>
      <c r="K782">
        <v>428571</v>
      </c>
    </row>
    <row r="783" spans="10:12" x14ac:dyDescent="0.25">
      <c r="J783">
        <v>778</v>
      </c>
      <c r="K783">
        <v>381024</v>
      </c>
    </row>
    <row r="784" spans="10:12" x14ac:dyDescent="0.25">
      <c r="J784">
        <v>779</v>
      </c>
      <c r="K784">
        <v>413143</v>
      </c>
    </row>
    <row r="785" spans="10:11" x14ac:dyDescent="0.25">
      <c r="J785">
        <v>780</v>
      </c>
      <c r="K785">
        <v>433333</v>
      </c>
    </row>
    <row r="786" spans="10:11" x14ac:dyDescent="0.25">
      <c r="J786">
        <v>781</v>
      </c>
      <c r="K786">
        <v>376190</v>
      </c>
    </row>
    <row r="787" spans="10:11" x14ac:dyDescent="0.25">
      <c r="J787">
        <v>782</v>
      </c>
      <c r="K787">
        <v>1437088</v>
      </c>
    </row>
    <row r="788" spans="10:11" x14ac:dyDescent="0.25">
      <c r="J788">
        <v>783</v>
      </c>
      <c r="K788">
        <v>904761</v>
      </c>
    </row>
    <row r="789" spans="10:11" x14ac:dyDescent="0.25">
      <c r="J789">
        <v>784</v>
      </c>
      <c r="K789">
        <v>437059</v>
      </c>
    </row>
    <row r="790" spans="10:11" x14ac:dyDescent="0.25">
      <c r="J790">
        <v>785</v>
      </c>
      <c r="K790">
        <v>404762</v>
      </c>
    </row>
    <row r="791" spans="10:11" x14ac:dyDescent="0.25">
      <c r="J791">
        <v>786</v>
      </c>
      <c r="K791">
        <v>380952</v>
      </c>
    </row>
    <row r="792" spans="10:11" x14ac:dyDescent="0.25">
      <c r="J792">
        <v>787</v>
      </c>
      <c r="K792">
        <v>476190</v>
      </c>
    </row>
    <row r="793" spans="10:11" x14ac:dyDescent="0.25">
      <c r="J793">
        <v>788</v>
      </c>
      <c r="K793">
        <v>714394</v>
      </c>
    </row>
    <row r="794" spans="10:11" x14ac:dyDescent="0.25">
      <c r="J794">
        <v>789</v>
      </c>
      <c r="K794">
        <v>47429</v>
      </c>
    </row>
    <row r="795" spans="10:11" x14ac:dyDescent="0.25">
      <c r="J795">
        <v>790</v>
      </c>
      <c r="K795">
        <v>761436</v>
      </c>
    </row>
    <row r="796" spans="10:11" x14ac:dyDescent="0.25">
      <c r="J796">
        <v>791</v>
      </c>
      <c r="K796">
        <v>1559192</v>
      </c>
    </row>
    <row r="797" spans="10:11" x14ac:dyDescent="0.25">
      <c r="J797">
        <v>792</v>
      </c>
      <c r="K797">
        <v>380952</v>
      </c>
    </row>
    <row r="798" spans="10:11" x14ac:dyDescent="0.25">
      <c r="J798">
        <v>793</v>
      </c>
      <c r="K798">
        <v>2255487</v>
      </c>
    </row>
    <row r="799" spans="10:11" x14ac:dyDescent="0.25">
      <c r="J799">
        <v>794</v>
      </c>
      <c r="K799">
        <v>2233635</v>
      </c>
    </row>
    <row r="800" spans="10:11" x14ac:dyDescent="0.25">
      <c r="J800">
        <v>795</v>
      </c>
      <c r="K800">
        <v>904762</v>
      </c>
    </row>
    <row r="801" spans="10:12" x14ac:dyDescent="0.25">
      <c r="J801">
        <v>796</v>
      </c>
      <c r="K801">
        <v>3110190</v>
      </c>
    </row>
    <row r="802" spans="10:12" x14ac:dyDescent="0.25">
      <c r="J802">
        <v>797</v>
      </c>
      <c r="K802">
        <v>758095</v>
      </c>
    </row>
    <row r="803" spans="10:12" x14ac:dyDescent="0.25">
      <c r="J803">
        <v>798</v>
      </c>
      <c r="K803">
        <v>3060118</v>
      </c>
    </row>
    <row r="804" spans="10:12" x14ac:dyDescent="0.25">
      <c r="J804">
        <v>799</v>
      </c>
      <c r="K804">
        <v>474510</v>
      </c>
    </row>
    <row r="805" spans="10:12" x14ac:dyDescent="0.25">
      <c r="J805">
        <v>800</v>
      </c>
      <c r="K805">
        <v>405000</v>
      </c>
    </row>
    <row r="806" spans="10:12" x14ac:dyDescent="0.25">
      <c r="J806">
        <v>801</v>
      </c>
      <c r="K806">
        <v>3229955</v>
      </c>
    </row>
    <row r="807" spans="10:12" x14ac:dyDescent="0.25">
      <c r="J807">
        <v>802</v>
      </c>
      <c r="K807">
        <v>427011</v>
      </c>
    </row>
    <row r="808" spans="10:12" x14ac:dyDescent="0.25">
      <c r="J808">
        <v>803</v>
      </c>
      <c r="K808">
        <v>2185720</v>
      </c>
    </row>
    <row r="809" spans="10:12" x14ac:dyDescent="0.25">
      <c r="J809">
        <v>804</v>
      </c>
      <c r="K809">
        <v>1227619</v>
      </c>
    </row>
    <row r="810" spans="10:12" x14ac:dyDescent="0.25">
      <c r="J810">
        <v>805</v>
      </c>
      <c r="K810">
        <v>4577667</v>
      </c>
    </row>
    <row r="811" spans="10:12" x14ac:dyDescent="0.25">
      <c r="J811">
        <v>806</v>
      </c>
      <c r="K811">
        <v>190476</v>
      </c>
    </row>
    <row r="812" spans="10:12" x14ac:dyDescent="0.25">
      <c r="J812">
        <v>807</v>
      </c>
      <c r="K812">
        <v>739624</v>
      </c>
    </row>
    <row r="813" spans="10:12" x14ac:dyDescent="0.25">
      <c r="J813">
        <v>808</v>
      </c>
      <c r="K813">
        <v>529497</v>
      </c>
    </row>
    <row r="814" spans="10:12" x14ac:dyDescent="0.25">
      <c r="J814">
        <v>809</v>
      </c>
      <c r="K814">
        <v>2500000</v>
      </c>
    </row>
    <row r="815" spans="10:12" x14ac:dyDescent="0.25">
      <c r="J815">
        <v>810</v>
      </c>
      <c r="L815">
        <v>5041701</v>
      </c>
    </row>
    <row r="816" spans="10:12" x14ac:dyDescent="0.25">
      <c r="J816">
        <v>811</v>
      </c>
      <c r="K816">
        <v>252141</v>
      </c>
    </row>
    <row r="817" spans="10:12" x14ac:dyDescent="0.25">
      <c r="J817">
        <v>812</v>
      </c>
      <c r="K817">
        <v>2380952</v>
      </c>
    </row>
    <row r="818" spans="10:12" x14ac:dyDescent="0.25">
      <c r="J818">
        <v>813</v>
      </c>
      <c r="K818">
        <v>1476190</v>
      </c>
    </row>
    <row r="819" spans="10:12" x14ac:dyDescent="0.25">
      <c r="J819">
        <v>814</v>
      </c>
      <c r="K819">
        <v>4009613</v>
      </c>
    </row>
    <row r="820" spans="10:12" x14ac:dyDescent="0.25">
      <c r="J820">
        <v>815</v>
      </c>
      <c r="K820">
        <v>4109772</v>
      </c>
    </row>
    <row r="821" spans="10:12" x14ac:dyDescent="0.25">
      <c r="J821">
        <v>816</v>
      </c>
      <c r="K821">
        <v>770529</v>
      </c>
    </row>
    <row r="822" spans="10:12" x14ac:dyDescent="0.25">
      <c r="J822">
        <v>817</v>
      </c>
      <c r="K822">
        <v>448589</v>
      </c>
    </row>
    <row r="823" spans="10:12" x14ac:dyDescent="0.25">
      <c r="J823">
        <v>818</v>
      </c>
      <c r="K823">
        <v>4142857</v>
      </c>
    </row>
    <row r="824" spans="10:12" x14ac:dyDescent="0.25">
      <c r="J824">
        <v>819</v>
      </c>
      <c r="K824">
        <v>4453001</v>
      </c>
    </row>
    <row r="825" spans="10:12" x14ac:dyDescent="0.25">
      <c r="J825">
        <v>820</v>
      </c>
      <c r="L825">
        <v>5030271</v>
      </c>
    </row>
    <row r="826" spans="10:12" x14ac:dyDescent="0.25">
      <c r="J826">
        <v>821</v>
      </c>
      <c r="K826">
        <v>2476190</v>
      </c>
    </row>
    <row r="827" spans="10:12" x14ac:dyDescent="0.25">
      <c r="J827">
        <v>822</v>
      </c>
      <c r="K827">
        <v>3421038</v>
      </c>
    </row>
    <row r="828" spans="10:12" x14ac:dyDescent="0.25">
      <c r="J828">
        <v>823</v>
      </c>
      <c r="K828">
        <v>952380</v>
      </c>
    </row>
    <row r="829" spans="10:12" x14ac:dyDescent="0.25">
      <c r="J829">
        <v>824</v>
      </c>
      <c r="K829">
        <v>1121429</v>
      </c>
    </row>
    <row r="830" spans="10:12" x14ac:dyDescent="0.25">
      <c r="J830">
        <v>825</v>
      </c>
      <c r="K830">
        <v>761905</v>
      </c>
    </row>
    <row r="831" spans="10:12" x14ac:dyDescent="0.25">
      <c r="J831">
        <v>826</v>
      </c>
      <c r="K831">
        <v>952381</v>
      </c>
    </row>
    <row r="832" spans="10:12" x14ac:dyDescent="0.25">
      <c r="J832">
        <v>827</v>
      </c>
      <c r="K832">
        <v>428095</v>
      </c>
    </row>
    <row r="833" spans="10:12" x14ac:dyDescent="0.25">
      <c r="J833">
        <v>828</v>
      </c>
      <c r="K833">
        <v>3606283</v>
      </c>
    </row>
    <row r="834" spans="10:12" x14ac:dyDescent="0.25">
      <c r="J834">
        <v>829</v>
      </c>
      <c r="K834">
        <v>215001</v>
      </c>
    </row>
    <row r="835" spans="10:12" x14ac:dyDescent="0.25">
      <c r="J835">
        <v>830</v>
      </c>
      <c r="K835">
        <v>950107</v>
      </c>
    </row>
    <row r="836" spans="10:12" x14ac:dyDescent="0.25">
      <c r="J836">
        <v>831</v>
      </c>
      <c r="K836">
        <v>2223810</v>
      </c>
    </row>
    <row r="837" spans="10:12" x14ac:dyDescent="0.25">
      <c r="J837">
        <v>832</v>
      </c>
      <c r="K837">
        <v>1333334</v>
      </c>
    </row>
    <row r="838" spans="10:12" x14ac:dyDescent="0.25">
      <c r="J838">
        <v>833</v>
      </c>
      <c r="K838">
        <v>95238</v>
      </c>
    </row>
    <row r="839" spans="10:12" x14ac:dyDescent="0.25">
      <c r="J839">
        <v>834</v>
      </c>
      <c r="K839">
        <v>3981570</v>
      </c>
    </row>
    <row r="840" spans="10:12" x14ac:dyDescent="0.25">
      <c r="J840">
        <v>835</v>
      </c>
      <c r="K840">
        <v>677810</v>
      </c>
    </row>
    <row r="841" spans="10:12" x14ac:dyDescent="0.25">
      <c r="J841">
        <v>836</v>
      </c>
      <c r="K841">
        <v>1039335</v>
      </c>
    </row>
    <row r="842" spans="10:12" x14ac:dyDescent="0.25">
      <c r="J842">
        <v>837</v>
      </c>
      <c r="K842">
        <v>797238</v>
      </c>
    </row>
    <row r="843" spans="10:12" x14ac:dyDescent="0.25">
      <c r="J843">
        <v>838</v>
      </c>
      <c r="L843">
        <v>47619</v>
      </c>
    </row>
    <row r="844" spans="10:12" x14ac:dyDescent="0.25">
      <c r="J844">
        <v>839</v>
      </c>
      <c r="L844">
        <v>1594239</v>
      </c>
    </row>
    <row r="845" spans="10:12" x14ac:dyDescent="0.25">
      <c r="J845">
        <v>840</v>
      </c>
      <c r="L845">
        <v>285715</v>
      </c>
    </row>
    <row r="846" spans="10:12" x14ac:dyDescent="0.25">
      <c r="J846">
        <v>841</v>
      </c>
      <c r="K846">
        <v>952381</v>
      </c>
    </row>
    <row r="847" spans="10:12" x14ac:dyDescent="0.25">
      <c r="J847">
        <v>842</v>
      </c>
      <c r="L847">
        <v>43000</v>
      </c>
    </row>
    <row r="848" spans="10:12" x14ac:dyDescent="0.25">
      <c r="J848">
        <v>843</v>
      </c>
      <c r="K848">
        <v>930190</v>
      </c>
    </row>
    <row r="849" spans="10:11" x14ac:dyDescent="0.25">
      <c r="J849">
        <v>844</v>
      </c>
      <c r="K849">
        <v>1137143</v>
      </c>
    </row>
    <row r="850" spans="10:11" x14ac:dyDescent="0.25">
      <c r="J850">
        <v>845</v>
      </c>
      <c r="K850">
        <v>1317476</v>
      </c>
    </row>
    <row r="851" spans="10:11" x14ac:dyDescent="0.25">
      <c r="J851">
        <v>846</v>
      </c>
      <c r="K851">
        <v>142762</v>
      </c>
    </row>
    <row r="852" spans="10:11" x14ac:dyDescent="0.25">
      <c r="J852">
        <v>847</v>
      </c>
      <c r="K852">
        <v>344061</v>
      </c>
    </row>
    <row r="853" spans="10:11" x14ac:dyDescent="0.25">
      <c r="J853">
        <v>848</v>
      </c>
      <c r="K853">
        <v>136755</v>
      </c>
    </row>
    <row r="854" spans="10:11" x14ac:dyDescent="0.25">
      <c r="J854">
        <v>849</v>
      </c>
      <c r="K854">
        <v>703665</v>
      </c>
    </row>
    <row r="855" spans="10:11" x14ac:dyDescent="0.25">
      <c r="J855">
        <v>850</v>
      </c>
      <c r="K855">
        <v>603142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Cleaning Log</vt:lpstr>
      <vt:lpstr>Transactions</vt:lpstr>
      <vt:lpstr>Descriptive Stats</vt:lpstr>
      <vt:lpstr>Annual Summary</vt:lpstr>
      <vt:lpstr>Forecast</vt:lpstr>
      <vt:lpstr>Yield</vt:lpstr>
      <vt:lpstr>P&amp;L Model</vt:lpstr>
      <vt:lpstr>Sensitivity</vt:lpstr>
      <vt:lpstr>Buyer Risk Model</vt:lpstr>
      <vt:lpstr>Buyer Tiers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Akash Jana</cp:lastModifiedBy>
  <cp:revision>1</cp:revision>
  <dcterms:created xsi:type="dcterms:W3CDTF">2026-06-30T13:32:49Z</dcterms:created>
  <dcterms:modified xsi:type="dcterms:W3CDTF">2026-06-30T14:04:51Z</dcterms:modified>
  <dc:language>en-US</dc:language>
</cp:coreProperties>
</file>