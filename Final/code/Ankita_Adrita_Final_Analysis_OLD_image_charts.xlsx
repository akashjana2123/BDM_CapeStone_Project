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DM\"/>
    </mc:Choice>
  </mc:AlternateContent>
  <xr:revisionPtr revIDLastSave="0" documentId="13_ncr:1_{6A74E0A4-1C1B-4424-A985-B6E6E21E2B5A}" xr6:coauthVersionLast="47" xr6:coauthVersionMax="47" xr10:uidLastSave="{00000000-0000-0000-0000-000000000000}"/>
  <bookViews>
    <workbookView xWindow="-120" yWindow="-120" windowWidth="29040" windowHeight="15720" tabRatio="673" activeTab="10" xr2:uid="{00000000-000D-0000-FFFF-FFFF00000000}"/>
  </bookViews>
  <sheets>
    <sheet name="README" sheetId="1" r:id="rId1"/>
    <sheet name="Cleaning Log" sheetId="2" r:id="rId2"/>
    <sheet name="Transactions" sheetId="3" r:id="rId3"/>
    <sheet name="Descriptive Stats" sheetId="4" r:id="rId4"/>
    <sheet name="Annual Summary" sheetId="5" r:id="rId5"/>
    <sheet name="Forecast" sheetId="6" r:id="rId6"/>
    <sheet name="Yield" sheetId="7" r:id="rId7"/>
    <sheet name="P&amp;L Model" sheetId="8" r:id="rId8"/>
    <sheet name="Sensitivity" sheetId="9" r:id="rId9"/>
    <sheet name="Buyer Scorecard" sheetId="10" r:id="rId10"/>
    <sheet name="Anomalies" sheetId="11" r:id="rId11"/>
  </sheets>
  <definedNames>
    <definedName name="_xlnm._FilterDatabase" localSheetId="2" hidden="1">Transactions!$A$1:$G$851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9" l="1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B16" i="8"/>
  <c r="B11" i="8"/>
  <c r="D7" i="5"/>
  <c r="D6" i="5"/>
  <c r="D5" i="5"/>
  <c r="D4" i="5"/>
  <c r="B12" i="8" l="1"/>
  <c r="C21" i="8" l="1"/>
  <c r="B15" i="8"/>
  <c r="B13" i="8"/>
  <c r="B14" i="8" s="1"/>
  <c r="C20" i="8"/>
</calcChain>
</file>

<file path=xl/sharedStrings.xml><?xml version="1.0" encoding="utf-8"?>
<sst xmlns="http://schemas.openxmlformats.org/spreadsheetml/2006/main" count="4496" uniqueCount="347">
  <si>
    <t>Analytical Study of Ankita Cashew Processing</t>
  </si>
  <si>
    <t>BDM Capstone — FINAL Analysis Workbook</t>
  </si>
  <si>
    <t>Akash Jana | Roll 23f2000990 | IIT Madras BS Degree</t>
  </si>
  <si>
    <t>This workbook supports the FINAL report. Charts embedded here are the SAME images used</t>
  </si>
  <si>
    <t>in the report (so they match). The script "analysis_final.py" reproduces everything.</t>
  </si>
  <si>
    <t>Sheets:</t>
  </si>
  <si>
    <t xml:space="preserve">  Cleaning Log      - cleaning counts and examples</t>
  </si>
  <si>
    <t xml:space="preserve">  Transactions      - cleaned ledger (850 rows)</t>
  </si>
  <si>
    <t xml:space="preserve">  Descriptive Stats - mean/median/SD/min/max for all variables</t>
  </si>
  <si>
    <t xml:space="preserve">  Annual Summary    - year-wise sales vs purchase</t>
  </si>
  <si>
    <t xml:space="preserve">  Forecast          - forecast accuracy (RMSE/MAE)</t>
  </si>
  <si>
    <t xml:space="preserve">  Yield             - yield per cycle, variance, Z-score</t>
  </si>
  <si>
    <t xml:space="preserve">  P&amp;L Model         - LIVE contribution model (edit blue cells to test)</t>
  </si>
  <si>
    <t xml:space="preserve">  Sensitivity       - contribution grid vs RCN &amp; selling price moves</t>
  </si>
  <si>
    <t xml:space="preserve">  Buyer Scorecard   - buyer risk tiers, credit limits, logistic model</t>
  </si>
  <si>
    <t xml:space="preserve">  Anomalies         - flagged transactions (Z-score + Isolation Forest)</t>
  </si>
  <si>
    <t>Blue cells = inputs/assumptions; black cells = Excel formulas. Amounts in ₹, weights in KG.</t>
  </si>
  <si>
    <t>Data Cleaning Log</t>
  </si>
  <si>
    <t>Step</t>
  </si>
  <si>
    <t>Count</t>
  </si>
  <si>
    <t>Cells scanned</t>
  </si>
  <si>
    <t>Non-data rows skipped</t>
  </si>
  <si>
    <t>Exact duplicates removed</t>
  </si>
  <si>
    <t>Clean transactions kept</t>
  </si>
  <si>
    <t>Duplicate examples: ₹70,000 cash sale (Ankita 31-Mar-2023); ₹25,00,000 RCN purchase (Ankita 30-Jul-2024).</t>
  </si>
  <si>
    <t>Company</t>
  </si>
  <si>
    <t>Flow</t>
  </si>
  <si>
    <t>Goods</t>
  </si>
  <si>
    <t>Date</t>
  </si>
  <si>
    <t>Counterparty</t>
  </si>
  <si>
    <t>Amount (₹)</t>
  </si>
  <si>
    <t>Financial Year</t>
  </si>
  <si>
    <t>Adrita</t>
  </si>
  <si>
    <t>Sale</t>
  </si>
  <si>
    <t>FCN</t>
  </si>
  <si>
    <t>M/s Shree Taran Traders</t>
  </si>
  <si>
    <t>FY22-23</t>
  </si>
  <si>
    <t>ASHWANI KUMAR NEEL KAMAL</t>
  </si>
  <si>
    <t>Purchase</t>
  </si>
  <si>
    <t>RCN</t>
  </si>
  <si>
    <t>VIJAY TRADERS</t>
  </si>
  <si>
    <t>M/S RADHYSHYAM SAMBHUNATH</t>
  </si>
  <si>
    <t>M/S PADAM &amp; SONS</t>
  </si>
  <si>
    <t>Maa Laxmi Cashew</t>
  </si>
  <si>
    <t>Durga Cashew Co</t>
  </si>
  <si>
    <t>Subham Traders</t>
  </si>
  <si>
    <t>Ankita Cashew Processing</t>
  </si>
  <si>
    <t>Nandi Cashew Processing</t>
  </si>
  <si>
    <t>P P Enterprises</t>
  </si>
  <si>
    <t>SHYAS IMPEX TRADING</t>
  </si>
  <si>
    <t>SHRI KRISHNA CASHEW PROCESSING</t>
  </si>
  <si>
    <t>PAL CASHEW PROCESSING</t>
  </si>
  <si>
    <t>Advance From Customers</t>
  </si>
  <si>
    <t>SIYA AGRI ZONE PVT LTD</t>
  </si>
  <si>
    <t>MAA SITALA CASHEW TRADING AND PROCESSING</t>
  </si>
  <si>
    <t>Neo Traders</t>
  </si>
  <si>
    <t>Sahoo Cashew Nut Processing</t>
  </si>
  <si>
    <t>Mahesh Cashew Processing</t>
  </si>
  <si>
    <t>SUNRICE CHEMICALS PVT LTD</t>
  </si>
  <si>
    <t>Satyam Traders</t>
  </si>
  <si>
    <t>Patra Cashew Trading</t>
  </si>
  <si>
    <t>SWANRALI CASHEW PROCESSING</t>
  </si>
  <si>
    <t>SADANTHA AGRO PVT LTD</t>
  </si>
  <si>
    <t>Sahoo Cashew Processing</t>
  </si>
  <si>
    <t>Manni Lal Madhav Saran</t>
  </si>
  <si>
    <t>Thanks Enterprises</t>
  </si>
  <si>
    <t>NEW MAA BASULI CASHEW PROCESSING</t>
  </si>
  <si>
    <t>Tripathi Cashew Processing</t>
  </si>
  <si>
    <t>Cash</t>
  </si>
  <si>
    <t>M/s Satyam Traders</t>
  </si>
  <si>
    <t>FY23-24</t>
  </si>
  <si>
    <t>Festival Cashew Processing</t>
  </si>
  <si>
    <t>M/s Famous Tea Company</t>
  </si>
  <si>
    <t>Shree Taran Traders</t>
  </si>
  <si>
    <t>Radhyshyam Sambhu Nath</t>
  </si>
  <si>
    <t>Swarnali Cashew Processing</t>
  </si>
  <si>
    <t>ANKITA TRADERS</t>
  </si>
  <si>
    <t>SHRI VISHNU TRADERS</t>
  </si>
  <si>
    <t>M/s Maa Sitatala Cashew Trading &amp; Processing</t>
  </si>
  <si>
    <t>M/s Devideen Hanuman Prasad</t>
  </si>
  <si>
    <t>DEVI CASHEW PROCESSING</t>
  </si>
  <si>
    <t>BABA RAGHUNATH CASHEW PROCESSING</t>
  </si>
  <si>
    <t>SALONI TRADERS</t>
  </si>
  <si>
    <t>Maa Laxmi Cashew Processing</t>
  </si>
  <si>
    <t>GALAXY CASHEW INDUSTRY</t>
  </si>
  <si>
    <t>MAHENDRA SPICES</t>
  </si>
  <si>
    <t>KRISHNA DRY FRUIT CENTER</t>
  </si>
  <si>
    <t>Padam &amp; Sons</t>
  </si>
  <si>
    <t>MOMS</t>
  </si>
  <si>
    <t>SWARNASHRI CASHEW PROCESSING</t>
  </si>
  <si>
    <t>Aadhya Traders</t>
  </si>
  <si>
    <t>Dimond Enterprises</t>
  </si>
  <si>
    <t>SHREE TRADERS</t>
  </si>
  <si>
    <t>M/S SHUBHAM TRADERS</t>
  </si>
  <si>
    <t>Moyuk Enterprises</t>
  </si>
  <si>
    <t>Ahana Cashew Processing</t>
  </si>
  <si>
    <t>UMA SANKAR ROAD</t>
  </si>
  <si>
    <t>GUPTA STORE</t>
  </si>
  <si>
    <t>Gopal Krishna Cashew Industries</t>
  </si>
  <si>
    <t>M/s Ashwani Kumar Neel Kamal</t>
  </si>
  <si>
    <t>Bera Cashew Processing</t>
  </si>
  <si>
    <t>AVRADEEP ACHARJEE</t>
  </si>
  <si>
    <t>Maa Basuli</t>
  </si>
  <si>
    <t>FY24-25</t>
  </si>
  <si>
    <t>PRIME AGRO IMPEX</t>
  </si>
  <si>
    <t>Ramesh Chand Naresh Kumar</t>
  </si>
  <si>
    <t>SHREE SUMANGALA TRADERS</t>
  </si>
  <si>
    <t>M/S DEB TRADERS</t>
  </si>
  <si>
    <t>SALASAR BHANDER</t>
  </si>
  <si>
    <t>Sashwat Traders</t>
  </si>
  <si>
    <t>H K SINHA</t>
  </si>
  <si>
    <t>CRYSTAL IMPEX</t>
  </si>
  <si>
    <t>MONI CASHEW PROCESSING</t>
  </si>
  <si>
    <t>SANKAR SWEET</t>
  </si>
  <si>
    <t>NARMADHAS ENTERPRISES</t>
  </si>
  <si>
    <t>DELHI KIRYANA STORE</t>
  </si>
  <si>
    <t>Naresh Trading CO</t>
  </si>
  <si>
    <t>KAMAKHYA ENTERPRISE</t>
  </si>
  <si>
    <t>CHABIL DASS &amp; SONS</t>
  </si>
  <si>
    <t>RLG ENTERPRISES</t>
  </si>
  <si>
    <t>Radha Kishan Rajendra Kumar</t>
  </si>
  <si>
    <t>DURGA CASHEW PROCESSING</t>
  </si>
  <si>
    <t>Shoel Cashew Processing</t>
  </si>
  <si>
    <t>Keshav Trading Co</t>
  </si>
  <si>
    <t>ARJU CASHEW PROCESSING</t>
  </si>
  <si>
    <t>ANAND KUMAR DEEPESH KUMAR</t>
  </si>
  <si>
    <t>New Ma Basuli Cashew Processing</t>
  </si>
  <si>
    <t>Moonstar Cashew Processing</t>
  </si>
  <si>
    <t>Gayetri Cashew Processing</t>
  </si>
  <si>
    <t>BERA CASHEW (GOUTAM)</t>
  </si>
  <si>
    <t>MOYUK ENTERPRISE</t>
  </si>
  <si>
    <t>Soma Enterprises</t>
  </si>
  <si>
    <t>M/S DEV TRADERS</t>
  </si>
  <si>
    <t>ENAYET CASHEW TRADING</t>
  </si>
  <si>
    <t>BAJRANG ENTERPRISE</t>
  </si>
  <si>
    <t>FY25-26</t>
  </si>
  <si>
    <t>LAXMAN PRASAD OM PRAKASH</t>
  </si>
  <si>
    <t>KGN TRADERS</t>
  </si>
  <si>
    <t>AL JESVIN IMPEX AND CONTRACTING PVT LTD</t>
  </si>
  <si>
    <t>M/s Sahoo Cashew Processing</t>
  </si>
  <si>
    <t>Ujjala Chanachur</t>
  </si>
  <si>
    <t>PREM TRADING COMPANY</t>
  </si>
  <si>
    <t>RONAK CASHEW TRADING</t>
  </si>
  <si>
    <t>M/s BAGWATI DRY FRUITS</t>
  </si>
  <si>
    <t>Ma Nachinda Cashew</t>
  </si>
  <si>
    <t>Al Tarek Cashew</t>
  </si>
  <si>
    <t>Rajesh Froot Co.</t>
  </si>
  <si>
    <t>M R CASHEWS</t>
  </si>
  <si>
    <t>SHYEB CASHEW PROCESSING</t>
  </si>
  <si>
    <t>M/S SHRI SHYAM TRADERS</t>
  </si>
  <si>
    <t>MAA CHANDI CASHEW NUT PROCESSING</t>
  </si>
  <si>
    <t>M/S ANUSHREE ENTERPRISES</t>
  </si>
  <si>
    <t>M/S RAISA RANI CASHEW PROCESSING</t>
  </si>
  <si>
    <t>Ganesh Mashla Bhander</t>
  </si>
  <si>
    <t>MANAK CHAND &amp; SONS</t>
  </si>
  <si>
    <t>M/s Raunak Food and Spices</t>
  </si>
  <si>
    <t>DEBASISH TRADING CO</t>
  </si>
  <si>
    <t>NATURE FOOD INGREDIENTS</t>
  </si>
  <si>
    <t>RIHAN CASHEW TRADING</t>
  </si>
  <si>
    <t>Ankita</t>
  </si>
  <si>
    <t>Maa Durga Cashew Processing</t>
  </si>
  <si>
    <t>CHAKADOLA POLYMERS PVT LTD</t>
  </si>
  <si>
    <t>M/s Nandi Cashew Processing</t>
  </si>
  <si>
    <t>M/s Sree Krishna Cashew Processing</t>
  </si>
  <si>
    <t>M/s Mahesh Cashew Processing</t>
  </si>
  <si>
    <t>Tripathy Cashew Processing</t>
  </si>
  <si>
    <t>Adrita Cashew Processing</t>
  </si>
  <si>
    <t>SIYA AGRIZONE PVT LTS</t>
  </si>
  <si>
    <t>SHAYAS IMPEX TRADING</t>
  </si>
  <si>
    <t>VEER CASHEW INDUSTRYES</t>
  </si>
  <si>
    <t>Advance From Customer</t>
  </si>
  <si>
    <t>GALAXY TINA INDUSTRY</t>
  </si>
  <si>
    <t>New Kumudini Radio</t>
  </si>
  <si>
    <t>SURBHI FOOD PRODUCTS</t>
  </si>
  <si>
    <t>SANIA CASHEW PROCESSING</t>
  </si>
  <si>
    <t>Maa Sitala Cashew Trading &amp; Processing</t>
  </si>
  <si>
    <t>D K Day &amp; Sarker &amp; Co</t>
  </si>
  <si>
    <t>THE AURA</t>
  </si>
  <si>
    <t>P P ENTERPRISE</t>
  </si>
  <si>
    <t>DEB TRADERS</t>
  </si>
  <si>
    <t>OVERSEAS TRADING CO</t>
  </si>
  <si>
    <t>DNR TRADERS</t>
  </si>
  <si>
    <t>Ravi Agencies</t>
  </si>
  <si>
    <t>SUNRISE CHEMICALS PVT LTD</t>
  </si>
  <si>
    <t>M/s Mannilal Madhav Saran</t>
  </si>
  <si>
    <t>M/S SUBHAM TRADERS</t>
  </si>
  <si>
    <t>Reliable Traders</t>
  </si>
  <si>
    <t>M/S Dhram Chand Dhiraj Kumar</t>
  </si>
  <si>
    <t>M/S RAJ &amp; RAJ</t>
  </si>
  <si>
    <t>ANOAR KAJU PROCESSING</t>
  </si>
  <si>
    <t>SATTAR EXIM</t>
  </si>
  <si>
    <t>DEVIDEEN HANUMANPRASAD</t>
  </si>
  <si>
    <t>DEV KR CASHEW</t>
  </si>
  <si>
    <t>RINA CASHEW TRADING</t>
  </si>
  <si>
    <t>Agrizone Mercantile Llp</t>
  </si>
  <si>
    <t>M/s Neo Traders</t>
  </si>
  <si>
    <t>Export</t>
  </si>
  <si>
    <t>GS ENTERPRISE</t>
  </si>
  <si>
    <t>Sri Ram Cashew Processing</t>
  </si>
  <si>
    <t>Maa Taratarini Traders</t>
  </si>
  <si>
    <t>SHANKAR SWEET</t>
  </si>
  <si>
    <t>CHANDAN PURAKAYATWA</t>
  </si>
  <si>
    <t>M/S KAMALA EXPORT IMPORT</t>
  </si>
  <si>
    <t>PROTTASA ENTERPRISE</t>
  </si>
  <si>
    <t>SUSHMA INDUSTRIES</t>
  </si>
  <si>
    <t>ADINATH KAJU HOUSE</t>
  </si>
  <si>
    <t>BABA RAGHUNATH CASHEW PRO</t>
  </si>
  <si>
    <t>Swarna Shri Cashew</t>
  </si>
  <si>
    <t>M/S MAA PARWATI TRADERS</t>
  </si>
  <si>
    <t>A B TRADING</t>
  </si>
  <si>
    <t>Sanjib Cashew Processing</t>
  </si>
  <si>
    <t>SBS CASHEW</t>
  </si>
  <si>
    <t>G.S . Enterprises (Orissa)</t>
  </si>
  <si>
    <t>LAXMANPRASAD OM PRAKESH</t>
  </si>
  <si>
    <t>CHITRA MAL BHURANMAL JAIN</t>
  </si>
  <si>
    <t>M/s RAMESH CHAND NARESH KUMAR</t>
  </si>
  <si>
    <t>ALPHONSA CASHEW INDUSTRIES</t>
  </si>
  <si>
    <t>BALASHRI TRADING COMPANY</t>
  </si>
  <si>
    <t>SHYAMA TRADING</t>
  </si>
  <si>
    <t>BLPD NUTS PVT LTD</t>
  </si>
  <si>
    <t>DEEP INTERNATIONAL</t>
  </si>
  <si>
    <t>SM EXIM &amp; TRADING SOLUTIONS</t>
  </si>
  <si>
    <t>NEW MAA BASULI CASHEW</t>
  </si>
  <si>
    <t>INDIRA TRADERS</t>
  </si>
  <si>
    <t>SUSILA CASHEW PROCESSING</t>
  </si>
  <si>
    <t>Maa Gouri Cashew Processing</t>
  </si>
  <si>
    <t>M/S BERA CASHEW PROCESSING(Goutam)</t>
  </si>
  <si>
    <t>DIVYA SWADESHI AGENCY</t>
  </si>
  <si>
    <t>KAMAKHYA ENTERPRISES</t>
  </si>
  <si>
    <t>OVERSEAS TRADING COMPANY</t>
  </si>
  <si>
    <t>BANSAL SALES</t>
  </si>
  <si>
    <t>RAJ TRADING COMPANY</t>
  </si>
  <si>
    <t>M/s FAIZAN CASHEW PROCESSING AND TRADING</t>
  </si>
  <si>
    <t>M/S Ganpatram Jagdish Prasad Chachan</t>
  </si>
  <si>
    <t>Royel Cashew Processing</t>
  </si>
  <si>
    <t>SAHOO CASHEW (BABUKA)</t>
  </si>
  <si>
    <t>SHANKAR SWEETS</t>
  </si>
  <si>
    <t>Love Kush Trading Company</t>
  </si>
  <si>
    <t>RAISA RANI CASHEW PROCESSING</t>
  </si>
  <si>
    <t>AL TAREK CASHEW PROCESSING</t>
  </si>
  <si>
    <t>Ahana Enterprises</t>
  </si>
  <si>
    <t>Descriptive Statistics — all variables</t>
  </si>
  <si>
    <t>Variable</t>
  </si>
  <si>
    <t>Mean</t>
  </si>
  <si>
    <t>Median</t>
  </si>
  <si>
    <t>SD</t>
  </si>
  <si>
    <t>Min</t>
  </si>
  <si>
    <t>Max</t>
  </si>
  <si>
    <t>Sale amount (₹)</t>
  </si>
  <si>
    <t>Purchase amount (₹)</t>
  </si>
  <si>
    <t>RCN price (₹/KG)</t>
  </si>
  <si>
    <t>Buyer revenue (₹)</t>
  </si>
  <si>
    <t>Buyer orders (count)</t>
  </si>
  <si>
    <t>Buyer risk score (0-100)</t>
  </si>
  <si>
    <t>Contribution per kg kernel (₹)</t>
  </si>
  <si>
    <t>Annual Sales vs Purchase</t>
  </si>
  <si>
    <t>Sales (₹)</t>
  </si>
  <si>
    <t>Purchase (₹)</t>
  </si>
  <si>
    <t>Net (₹)</t>
  </si>
  <si>
    <t>Forecast Accuracy (6-month holdout)</t>
  </si>
  <si>
    <t>Model</t>
  </si>
  <si>
    <t>RMSE (₹)</t>
  </si>
  <si>
    <t>MAE (₹)</t>
  </si>
  <si>
    <t>ARIMA</t>
  </si>
  <si>
    <t>Linear (base)</t>
  </si>
  <si>
    <t>Naive</t>
  </si>
  <si>
    <t>Yield per Cycle</t>
  </si>
  <si>
    <t>Cycle</t>
  </si>
  <si>
    <t>Yield %</t>
  </si>
  <si>
    <t>Variance</t>
  </si>
  <si>
    <t>Z-score</t>
  </si>
  <si>
    <t>Outlier</t>
  </si>
  <si>
    <t>Adrita FY22-23</t>
  </si>
  <si>
    <t>No</t>
  </si>
  <si>
    <t>Adrita FY23-24</t>
  </si>
  <si>
    <t>Adrita FY24-25</t>
  </si>
  <si>
    <t>Adrita FY25-26</t>
  </si>
  <si>
    <t>Ankita FY22-23</t>
  </si>
  <si>
    <t>Yes</t>
  </si>
  <si>
    <t>Ankita FY23-24</t>
  </si>
  <si>
    <t>Ankita FY24-25</t>
  </si>
  <si>
    <t>Ankita FY25-26</t>
  </si>
  <si>
    <t>Profit &amp; Loss — Live Contribution Model</t>
  </si>
  <si>
    <t>Edit the blue assumption cells to test scenarios. Black cells are formulas.</t>
  </si>
  <si>
    <t>Assumptions</t>
  </si>
  <si>
    <t>RCN price (₹/kg)</t>
  </si>
  <si>
    <t>Outturn / yield</t>
  </si>
  <si>
    <t>Processing &amp; overhead (₹/kg kernel)</t>
  </si>
  <si>
    <t>Kernel selling price (₹/kg)</t>
  </si>
  <si>
    <t>Computed</t>
  </si>
  <si>
    <t>Raw nut cost per kg kernel</t>
  </si>
  <si>
    <t>Total cost per kg kernel</t>
  </si>
  <si>
    <t>Contribution per kg kernel</t>
  </si>
  <si>
    <t>Margin %</t>
  </si>
  <si>
    <t>Break-even price (₹/kg)</t>
  </si>
  <si>
    <t>Break-even outturn</t>
  </si>
  <si>
    <t>By grade</t>
  </si>
  <si>
    <t>Grade</t>
  </si>
  <si>
    <t>Price (₹/kg)</t>
  </si>
  <si>
    <t>Contribution (₹/kg)</t>
  </si>
  <si>
    <t>Whole</t>
  </si>
  <si>
    <t>Broken</t>
  </si>
  <si>
    <t>Contribution Sensitivity (₹/kg kernel)</t>
  </si>
  <si>
    <t>Rows = RCN price change, Columns = selling-price change. Live formulas off 'P&amp;L Model'.</t>
  </si>
  <si>
    <t>RCN ↓ / Price →</t>
  </si>
  <si>
    <t>-10%</t>
  </si>
  <si>
    <t>-5%</t>
  </si>
  <si>
    <t>+0%</t>
  </si>
  <si>
    <t>+5%</t>
  </si>
  <si>
    <t>+10%</t>
  </si>
  <si>
    <t>Buyer Risk Scorecard</t>
  </si>
  <si>
    <t>Tier</t>
  </si>
  <si>
    <t>Buyers</t>
  </si>
  <si>
    <t>Credit exposure (₹)</t>
  </si>
  <si>
    <t>Low</t>
  </si>
  <si>
    <t>Medium</t>
  </si>
  <si>
    <t>High</t>
  </si>
  <si>
    <t>Illustrative logistic model: AUC=0.96, accuracy=0.923 (simulated delays — see report).</t>
  </si>
  <si>
    <t>Top buyers</t>
  </si>
  <si>
    <t>Buyer</t>
  </si>
  <si>
    <t>Revenue (₹)</t>
  </si>
  <si>
    <t>Orders</t>
  </si>
  <si>
    <t>Recency (d)</t>
  </si>
  <si>
    <t>Risk</t>
  </si>
  <si>
    <t>Credit limit (₹)</t>
  </si>
  <si>
    <t>Anomaly Detection</t>
  </si>
  <si>
    <t>Flagged 29 of 850 transactions (3.4%): 12 by Z-score, 17 by Isolation Forest. Reconciliation flagged 3 months.</t>
  </si>
  <si>
    <t>Party</t>
  </si>
  <si>
    <t>Z</t>
  </si>
  <si>
    <t>Flagged by</t>
  </si>
  <si>
    <t>2022-11-19</t>
  </si>
  <si>
    <t>Isolation Forest</t>
  </si>
  <si>
    <t>2023-11-03</t>
  </si>
  <si>
    <t>SUNRICE CHEMICALS PVT LT</t>
  </si>
  <si>
    <t>2023-03-29</t>
  </si>
  <si>
    <t>2023-02-06</t>
  </si>
  <si>
    <t>2024-04-15</t>
  </si>
  <si>
    <t>2023-09-03</t>
  </si>
  <si>
    <t>2025-09-22</t>
  </si>
  <si>
    <t>MAA CHANDI CASHEW NUT PR</t>
  </si>
  <si>
    <t>2023-12-01</t>
  </si>
  <si>
    <t>Maa Laxmi Cashew Process</t>
  </si>
  <si>
    <t>2023-12-09</t>
  </si>
  <si>
    <t>2023-05-05</t>
  </si>
  <si>
    <t>2022-05-10</t>
  </si>
  <si>
    <t>CHAKADOLA POLYMERS PVT L</t>
  </si>
  <si>
    <t>2025-12-29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</si>
</sst>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"/>
    <numFmt numFmtId="166" formatCode="#,##0.0"/>
    <numFmt numFmtId="167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0F766E"/>
      <name val="Arial"/>
      <family val="2"/>
    </font>
    <font>
      <b/>
      <sz val="11"/>
      <color rgb="FFB45309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Cambria"/>
      <family val="1"/>
    </font>
    <font>
      <i/>
      <sz val="9"/>
      <color rgb="FF88888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/>
    <xf numFmtId="0" fontId="5" fillId="0" borderId="0" xfId="0" applyFont="1"/>
    <xf numFmtId="164" fontId="0" fillId="0" borderId="0" xfId="0" applyNumberFormat="1"/>
    <xf numFmtId="3" fontId="0" fillId="0" borderId="0" xfId="0" applyNumberFormat="1"/>
    <xf numFmtId="165" fontId="4" fillId="0" borderId="1" xfId="0" applyNumberFormat="1" applyFont="1" applyBorder="1"/>
    <xf numFmtId="3" fontId="0" fillId="0" borderId="1" xfId="0" applyNumberFormat="1" applyBorder="1"/>
    <xf numFmtId="166" fontId="4" fillId="0" borderId="1" xfId="0" applyNumberFormat="1" applyFont="1" applyBorder="1"/>
    <xf numFmtId="9" fontId="4" fillId="0" borderId="1" xfId="0" applyNumberFormat="1" applyFont="1" applyBorder="1"/>
    <xf numFmtId="166" fontId="0" fillId="0" borderId="1" xfId="0" applyNumberFormat="1" applyBorder="1"/>
    <xf numFmtId="0" fontId="2" fillId="0" borderId="1" xfId="0" applyFont="1" applyBorder="1"/>
    <xf numFmtId="167" fontId="0" fillId="0" borderId="1" xfId="0" applyNumberFormat="1" applyBorder="1"/>
    <xf numFmtId="0" fontId="3" fillId="2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Figure 1: Sales and Purchase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Summary'!$B$3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Summary'!$A$4:$A$7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'Annual Summary'!$B$4:$B$7</c:f>
              <c:numCache>
                <c:formatCode>#,##0</c:formatCode>
                <c:ptCount val="4"/>
                <c:pt idx="0">
                  <c:v>72524077</c:v>
                </c:pt>
                <c:pt idx="1">
                  <c:v>76227072</c:v>
                </c:pt>
                <c:pt idx="2">
                  <c:v>81086538</c:v>
                </c:pt>
                <c:pt idx="3">
                  <c:v>67738985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8-4856-8EB4-21407FDA1D9E}"/>
            </c:ext>
          </c:extLst>
        </c:ser>
        <c:ser>
          <c:idx val="1"/>
          <c:order val="1"/>
          <c:tx>
            <c:strRef>
              <c:f>'Annual Summary'!$C$3</c:f>
              <c:strCache>
                <c:ptCount val="1"/>
                <c:pt idx="0">
                  <c:v>Purchase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'Annual Summary'!$A$4:$A$7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'Annual Summary'!$C$4:$C$7</c:f>
              <c:numCache>
                <c:formatCode>#,##0</c:formatCode>
                <c:ptCount val="4"/>
                <c:pt idx="0">
                  <c:v>73780058</c:v>
                </c:pt>
                <c:pt idx="1">
                  <c:v>68141555</c:v>
                </c:pt>
                <c:pt idx="2">
                  <c:v>70636908</c:v>
                </c:pt>
                <c:pt idx="3">
                  <c:v>58139303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8-4856-8EB4-21407FDA1D9E}"/>
            </c:ext>
          </c:extLst>
        </c:ser>
        <c:ser>
          <c:idx val="2"/>
          <c:order val="2"/>
          <c:tx>
            <c:strRef>
              <c:f>'Annual Summary'!$D$3</c:f>
              <c:strCache>
                <c:ptCount val="1"/>
                <c:pt idx="0">
                  <c:v>Net 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'Annual Summary'!$A$4:$A$7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'Annual Summary'!$D$4:$D$7</c:f>
              <c:numCache>
                <c:formatCode>#,##0</c:formatCode>
                <c:ptCount val="4"/>
                <c:pt idx="0">
                  <c:v>-1255981</c:v>
                </c:pt>
                <c:pt idx="1">
                  <c:v>8085517</c:v>
                </c:pt>
                <c:pt idx="2">
                  <c:v>10449630</c:v>
                </c:pt>
                <c:pt idx="3">
                  <c:v>9599682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8-4856-8EB4-21407FDA1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344479"/>
        <c:axId val="1096347839"/>
      </c:barChart>
      <c:catAx>
        <c:axId val="109634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347839"/>
        <c:crosses val="autoZero"/>
        <c:auto val="1"/>
        <c:lblAlgn val="ctr"/>
        <c:lblOffset val="100"/>
        <c:noMultiLvlLbl val="0"/>
      </c:catAx>
      <c:valAx>
        <c:axId val="10963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34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4</xdr:row>
      <xdr:rowOff>180974</xdr:rowOff>
    </xdr:from>
    <xdr:to>
      <xdr:col>17</xdr:col>
      <xdr:colOff>504825</xdr:colOff>
      <xdr:row>23</xdr:row>
      <xdr:rowOff>114299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77025" y="981074"/>
          <a:ext cx="5581650" cy="3552825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7</xdr:col>
      <xdr:colOff>95249</xdr:colOff>
      <xdr:row>3</xdr:row>
      <xdr:rowOff>128586</xdr:rowOff>
    </xdr:from>
    <xdr:to>
      <xdr:col>19</xdr:col>
      <xdr:colOff>76200</xdr:colOff>
      <xdr:row>23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241A8-6D89-D954-38EE-91081B4D9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10</xdr:col>
      <xdr:colOff>114299</xdr:colOff>
      <xdr:row>27</xdr:row>
      <xdr:rowOff>38100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562100"/>
          <a:ext cx="7381874" cy="3657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18</xdr:col>
      <xdr:colOff>28575</xdr:colOff>
      <xdr:row>20</xdr:row>
      <xdr:rowOff>133350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81450" y="228600"/>
          <a:ext cx="7000875" cy="3752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12</xdr:col>
      <xdr:colOff>371475</xdr:colOff>
      <xdr:row>17</xdr:row>
      <xdr:rowOff>133350</xdr:rowOff>
    </xdr:to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48225" y="609600"/>
          <a:ext cx="5019675" cy="2800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114300</xdr:colOff>
      <xdr:row>19</xdr:row>
      <xdr:rowOff>0</xdr:rowOff>
    </xdr:from>
    <xdr:to>
      <xdr:col>12</xdr:col>
      <xdr:colOff>123824</xdr:colOff>
      <xdr:row>34</xdr:row>
      <xdr:rowOff>57150</xdr:rowOff>
    </xdr:to>
    <xdr:pic>
      <xdr:nvPicPr>
        <xdr:cNvPr id="5" name="Image 2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381500" y="3657600"/>
          <a:ext cx="5238749" cy="29146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104775</xdr:colOff>
      <xdr:row>18</xdr:row>
      <xdr:rowOff>171450</xdr:rowOff>
    </xdr:from>
    <xdr:to>
      <xdr:col>22</xdr:col>
      <xdr:colOff>466725</xdr:colOff>
      <xdr:row>34</xdr:row>
      <xdr:rowOff>38100</xdr:rowOff>
    </xdr:to>
    <xdr:pic>
      <xdr:nvPicPr>
        <xdr:cNvPr id="6" name="Image 3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763250" y="3638550"/>
          <a:ext cx="5010150" cy="29146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9</xdr:col>
      <xdr:colOff>419100</xdr:colOff>
      <xdr:row>32</xdr:row>
      <xdr:rowOff>133350</xdr:rowOff>
    </xdr:to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133600"/>
          <a:ext cx="6134100" cy="4133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14</xdr:col>
      <xdr:colOff>426600</xdr:colOff>
      <xdr:row>13</xdr:row>
      <xdr:rowOff>113760</xdr:rowOff>
    </xdr:to>
    <xdr:pic>
      <xdr:nvPicPr>
        <xdr:cNvPr id="8" name="Image 1" descr="Pictur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78200" y="410760"/>
          <a:ext cx="4095360" cy="220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581024</xdr:colOff>
      <xdr:row>15</xdr:row>
      <xdr:rowOff>19050</xdr:rowOff>
    </xdr:from>
    <xdr:to>
      <xdr:col>13</xdr:col>
      <xdr:colOff>419099</xdr:colOff>
      <xdr:row>32</xdr:row>
      <xdr:rowOff>66240</xdr:rowOff>
    </xdr:to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81824" y="2914650"/>
          <a:ext cx="3324225" cy="328569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8</xdr:col>
      <xdr:colOff>304800</xdr:colOff>
      <xdr:row>34</xdr:row>
      <xdr:rowOff>133350</xdr:rowOff>
    </xdr:to>
    <xdr:pic>
      <xdr:nvPicPr>
        <xdr:cNvPr id="10" name="Image 1" descr="Pictur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657600"/>
          <a:ext cx="6838950" cy="29908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5</xdr:col>
      <xdr:colOff>511920</xdr:colOff>
      <xdr:row>49</xdr:row>
      <xdr:rowOff>171000</xdr:rowOff>
    </xdr:to>
    <xdr:pic>
      <xdr:nvPicPr>
        <xdr:cNvPr id="11" name="Image 2" descr="Pictur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7459200"/>
          <a:ext cx="4952520" cy="2076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92" customWidth="1"/>
  </cols>
  <sheetData>
    <row r="2" spans="2:2" ht="18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1" spans="2:2" x14ac:dyDescent="0.25">
      <c r="B11" t="s">
        <v>7</v>
      </c>
    </row>
    <row r="12" spans="2:2" x14ac:dyDescent="0.25">
      <c r="B12" t="s">
        <v>8</v>
      </c>
    </row>
    <row r="13" spans="2:2" x14ac:dyDescent="0.25">
      <c r="B13" t="s">
        <v>9</v>
      </c>
    </row>
    <row r="14" spans="2:2" x14ac:dyDescent="0.25">
      <c r="B14" t="s">
        <v>10</v>
      </c>
    </row>
    <row r="15" spans="2:2" x14ac:dyDescent="0.25">
      <c r="B15" t="s">
        <v>11</v>
      </c>
    </row>
    <row r="16" spans="2:2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1" spans="2:2" x14ac:dyDescent="0.25">
      <c r="B21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7109375" defaultRowHeight="15" x14ac:dyDescent="0.25"/>
  <cols>
    <col min="1" max="1" width="46" customWidth="1"/>
    <col min="2" max="2" width="12" customWidth="1"/>
  </cols>
  <sheetData>
    <row r="1" spans="1:2" ht="18" x14ac:dyDescent="0.25">
      <c r="A1" s="1" t="s">
        <v>17</v>
      </c>
    </row>
    <row r="3" spans="1:2" x14ac:dyDescent="0.25">
      <c r="A3" s="3" t="s">
        <v>18</v>
      </c>
      <c r="B3" s="3" t="s">
        <v>19</v>
      </c>
    </row>
    <row r="4" spans="1:2" x14ac:dyDescent="0.25">
      <c r="A4" s="4" t="s">
        <v>20</v>
      </c>
      <c r="B4" s="5">
        <v>5572</v>
      </c>
    </row>
    <row r="5" spans="1:2" x14ac:dyDescent="0.25">
      <c r="A5" s="4" t="s">
        <v>21</v>
      </c>
      <c r="B5" s="5">
        <v>4720</v>
      </c>
    </row>
    <row r="6" spans="1:2" x14ac:dyDescent="0.25">
      <c r="A6" s="4" t="s">
        <v>22</v>
      </c>
      <c r="B6" s="5">
        <v>2</v>
      </c>
    </row>
    <row r="7" spans="1:2" x14ac:dyDescent="0.25">
      <c r="A7" s="4" t="s">
        <v>23</v>
      </c>
      <c r="B7" s="5">
        <v>850</v>
      </c>
    </row>
    <row r="9" spans="1:2" x14ac:dyDescent="0.25">
      <c r="A9" s="6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1"/>
  <sheetViews>
    <sheetView zoomScaleNormal="100" workbookViewId="0">
      <pane ySplit="1" topLeftCell="A281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0" customWidth="1"/>
    <col min="3" max="3" width="7" customWidth="1"/>
    <col min="4" max="4" width="12" customWidth="1"/>
    <col min="5" max="5" width="42" customWidth="1"/>
    <col min="6" max="6" width="14" customWidth="1"/>
    <col min="7" max="7" width="13" customWidth="1"/>
  </cols>
  <sheetData>
    <row r="1" spans="1:7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</row>
    <row r="2" spans="1:7" x14ac:dyDescent="0.25">
      <c r="A2" t="s">
        <v>32</v>
      </c>
      <c r="B2" t="s">
        <v>33</v>
      </c>
      <c r="C2" t="s">
        <v>34</v>
      </c>
      <c r="D2" s="7">
        <v>44671</v>
      </c>
      <c r="E2" t="s">
        <v>35</v>
      </c>
      <c r="F2" s="8">
        <v>243628</v>
      </c>
      <c r="G2" t="s">
        <v>36</v>
      </c>
    </row>
    <row r="3" spans="1:7" x14ac:dyDescent="0.25">
      <c r="A3" t="s">
        <v>32</v>
      </c>
      <c r="B3" t="s">
        <v>33</v>
      </c>
      <c r="C3" t="s">
        <v>34</v>
      </c>
      <c r="D3" s="7">
        <v>44677</v>
      </c>
      <c r="E3" t="s">
        <v>37</v>
      </c>
      <c r="F3" s="8">
        <v>526073</v>
      </c>
      <c r="G3" t="s">
        <v>36</v>
      </c>
    </row>
    <row r="4" spans="1:7" x14ac:dyDescent="0.25">
      <c r="A4" t="s">
        <v>32</v>
      </c>
      <c r="B4" t="s">
        <v>38</v>
      </c>
      <c r="C4" t="s">
        <v>39</v>
      </c>
      <c r="D4" s="7">
        <v>44688</v>
      </c>
      <c r="E4" t="s">
        <v>40</v>
      </c>
      <c r="F4" s="8">
        <v>1683200</v>
      </c>
      <c r="G4" t="s">
        <v>36</v>
      </c>
    </row>
    <row r="5" spans="1:7" x14ac:dyDescent="0.25">
      <c r="A5" t="s">
        <v>32</v>
      </c>
      <c r="B5" t="s">
        <v>33</v>
      </c>
      <c r="C5" t="s">
        <v>34</v>
      </c>
      <c r="D5" s="7">
        <v>44698</v>
      </c>
      <c r="E5" t="s">
        <v>41</v>
      </c>
      <c r="F5" s="8">
        <v>302860</v>
      </c>
      <c r="G5" t="s">
        <v>36</v>
      </c>
    </row>
    <row r="6" spans="1:7" x14ac:dyDescent="0.25">
      <c r="A6" t="s">
        <v>32</v>
      </c>
      <c r="B6" t="s">
        <v>33</v>
      </c>
      <c r="C6" t="s">
        <v>34</v>
      </c>
      <c r="D6" s="7">
        <v>44705</v>
      </c>
      <c r="E6" t="s">
        <v>42</v>
      </c>
      <c r="F6" s="8">
        <v>980712</v>
      </c>
      <c r="G6" t="s">
        <v>36</v>
      </c>
    </row>
    <row r="7" spans="1:7" x14ac:dyDescent="0.25">
      <c r="A7" t="s">
        <v>32</v>
      </c>
      <c r="B7" t="s">
        <v>38</v>
      </c>
      <c r="C7" t="s">
        <v>39</v>
      </c>
      <c r="D7" s="7">
        <v>44710</v>
      </c>
      <c r="E7" t="s">
        <v>43</v>
      </c>
      <c r="F7" s="8">
        <v>732947.2</v>
      </c>
      <c r="G7" t="s">
        <v>36</v>
      </c>
    </row>
    <row r="8" spans="1:7" x14ac:dyDescent="0.25">
      <c r="A8" t="s">
        <v>32</v>
      </c>
      <c r="B8" t="s">
        <v>33</v>
      </c>
      <c r="C8" t="s">
        <v>34</v>
      </c>
      <c r="D8" s="7">
        <v>44725</v>
      </c>
      <c r="E8" t="s">
        <v>37</v>
      </c>
      <c r="F8" s="8">
        <v>910585</v>
      </c>
      <c r="G8" t="s">
        <v>36</v>
      </c>
    </row>
    <row r="9" spans="1:7" x14ac:dyDescent="0.25">
      <c r="A9" t="s">
        <v>32</v>
      </c>
      <c r="B9" t="s">
        <v>38</v>
      </c>
      <c r="C9" t="s">
        <v>39</v>
      </c>
      <c r="D9" s="7">
        <v>44729</v>
      </c>
      <c r="E9" t="s">
        <v>44</v>
      </c>
      <c r="F9" s="8">
        <v>552619.05000000005</v>
      </c>
      <c r="G9" t="s">
        <v>36</v>
      </c>
    </row>
    <row r="10" spans="1:7" x14ac:dyDescent="0.25">
      <c r="A10" t="s">
        <v>32</v>
      </c>
      <c r="B10" t="s">
        <v>33</v>
      </c>
      <c r="C10" t="s">
        <v>34</v>
      </c>
      <c r="D10" s="7">
        <v>44734</v>
      </c>
      <c r="E10" t="s">
        <v>45</v>
      </c>
      <c r="F10" s="8">
        <v>892778</v>
      </c>
      <c r="G10" t="s">
        <v>36</v>
      </c>
    </row>
    <row r="11" spans="1:7" x14ac:dyDescent="0.25">
      <c r="A11" t="s">
        <v>32</v>
      </c>
      <c r="B11" t="s">
        <v>38</v>
      </c>
      <c r="C11" t="s">
        <v>39</v>
      </c>
      <c r="D11" s="7">
        <v>44741</v>
      </c>
      <c r="E11" t="s">
        <v>44</v>
      </c>
      <c r="F11" s="8">
        <v>490476.19</v>
      </c>
      <c r="G11" t="s">
        <v>36</v>
      </c>
    </row>
    <row r="12" spans="1:7" x14ac:dyDescent="0.25">
      <c r="A12" t="s">
        <v>32</v>
      </c>
      <c r="B12" t="s">
        <v>38</v>
      </c>
      <c r="C12" t="s">
        <v>39</v>
      </c>
      <c r="D12" s="7">
        <v>44741</v>
      </c>
      <c r="E12" t="s">
        <v>46</v>
      </c>
      <c r="F12" s="8">
        <v>4000000</v>
      </c>
      <c r="G12" t="s">
        <v>36</v>
      </c>
    </row>
    <row r="13" spans="1:7" x14ac:dyDescent="0.25">
      <c r="A13" t="s">
        <v>32</v>
      </c>
      <c r="B13" t="s">
        <v>33</v>
      </c>
      <c r="C13" t="s">
        <v>39</v>
      </c>
      <c r="D13" s="7">
        <v>44742</v>
      </c>
      <c r="E13" t="s">
        <v>47</v>
      </c>
      <c r="F13" s="8">
        <v>1718080</v>
      </c>
      <c r="G13" t="s">
        <v>36</v>
      </c>
    </row>
    <row r="14" spans="1:7" x14ac:dyDescent="0.25">
      <c r="A14" t="s">
        <v>32</v>
      </c>
      <c r="B14" t="s">
        <v>33</v>
      </c>
      <c r="C14" t="s">
        <v>39</v>
      </c>
      <c r="D14" s="7">
        <v>44742</v>
      </c>
      <c r="E14" t="s">
        <v>43</v>
      </c>
      <c r="F14" s="8">
        <v>1771500</v>
      </c>
      <c r="G14" t="s">
        <v>36</v>
      </c>
    </row>
    <row r="15" spans="1:7" x14ac:dyDescent="0.25">
      <c r="A15" t="s">
        <v>32</v>
      </c>
      <c r="B15" t="s">
        <v>33</v>
      </c>
      <c r="C15" t="s">
        <v>34</v>
      </c>
      <c r="D15" s="7">
        <v>44761</v>
      </c>
      <c r="E15" t="s">
        <v>48</v>
      </c>
      <c r="F15" s="8">
        <v>223528</v>
      </c>
      <c r="G15" t="s">
        <v>36</v>
      </c>
    </row>
    <row r="16" spans="1:7" x14ac:dyDescent="0.25">
      <c r="A16" t="s">
        <v>32</v>
      </c>
      <c r="B16" t="s">
        <v>38</v>
      </c>
      <c r="C16" t="s">
        <v>39</v>
      </c>
      <c r="D16" s="7">
        <v>44761</v>
      </c>
      <c r="E16" t="s">
        <v>47</v>
      </c>
      <c r="F16" s="8">
        <v>543810</v>
      </c>
      <c r="G16" t="s">
        <v>36</v>
      </c>
    </row>
    <row r="17" spans="1:7" x14ac:dyDescent="0.25">
      <c r="A17" t="s">
        <v>32</v>
      </c>
      <c r="B17" t="s">
        <v>33</v>
      </c>
      <c r="C17" t="s">
        <v>34</v>
      </c>
      <c r="D17" s="7">
        <v>44771</v>
      </c>
      <c r="E17" t="s">
        <v>35</v>
      </c>
      <c r="F17" s="8">
        <v>296570</v>
      </c>
      <c r="G17" t="s">
        <v>36</v>
      </c>
    </row>
    <row r="18" spans="1:7" x14ac:dyDescent="0.25">
      <c r="A18" t="s">
        <v>32</v>
      </c>
      <c r="B18" t="s">
        <v>38</v>
      </c>
      <c r="C18" t="s">
        <v>39</v>
      </c>
      <c r="D18" s="7">
        <v>44773</v>
      </c>
      <c r="E18" t="s">
        <v>49</v>
      </c>
      <c r="F18" s="8">
        <v>952381</v>
      </c>
      <c r="G18" t="s">
        <v>36</v>
      </c>
    </row>
    <row r="19" spans="1:7" x14ac:dyDescent="0.25">
      <c r="A19" t="s">
        <v>32</v>
      </c>
      <c r="B19" t="s">
        <v>33</v>
      </c>
      <c r="C19" t="s">
        <v>34</v>
      </c>
      <c r="D19" s="7">
        <v>44777</v>
      </c>
      <c r="E19" t="s">
        <v>48</v>
      </c>
      <c r="F19" s="8">
        <v>119040</v>
      </c>
      <c r="G19" t="s">
        <v>36</v>
      </c>
    </row>
    <row r="20" spans="1:7" x14ac:dyDescent="0.25">
      <c r="A20" t="s">
        <v>32</v>
      </c>
      <c r="B20" t="s">
        <v>33</v>
      </c>
      <c r="C20" t="s">
        <v>34</v>
      </c>
      <c r="D20" s="7">
        <v>44781</v>
      </c>
      <c r="E20" t="s">
        <v>37</v>
      </c>
      <c r="F20" s="8">
        <v>878303</v>
      </c>
      <c r="G20" t="s">
        <v>36</v>
      </c>
    </row>
    <row r="21" spans="1:7" x14ac:dyDescent="0.25">
      <c r="A21" t="s">
        <v>32</v>
      </c>
      <c r="B21" t="s">
        <v>33</v>
      </c>
      <c r="C21" t="s">
        <v>34</v>
      </c>
      <c r="D21" s="7">
        <v>44784</v>
      </c>
      <c r="E21" t="s">
        <v>48</v>
      </c>
      <c r="F21" s="8">
        <v>123810</v>
      </c>
      <c r="G21" t="s">
        <v>36</v>
      </c>
    </row>
    <row r="22" spans="1:7" x14ac:dyDescent="0.25">
      <c r="A22" t="s">
        <v>32</v>
      </c>
      <c r="B22" t="s">
        <v>38</v>
      </c>
      <c r="C22" t="s">
        <v>39</v>
      </c>
      <c r="D22" s="7">
        <v>44786</v>
      </c>
      <c r="E22" t="s">
        <v>50</v>
      </c>
      <c r="F22" s="8">
        <v>352380.95</v>
      </c>
      <c r="G22" t="s">
        <v>36</v>
      </c>
    </row>
    <row r="23" spans="1:7" x14ac:dyDescent="0.25">
      <c r="A23" t="s">
        <v>32</v>
      </c>
      <c r="B23" t="s">
        <v>38</v>
      </c>
      <c r="C23" t="s">
        <v>39</v>
      </c>
      <c r="D23" s="7">
        <v>44804</v>
      </c>
      <c r="E23" t="s">
        <v>51</v>
      </c>
      <c r="F23" s="8">
        <v>252387.09</v>
      </c>
      <c r="G23" t="s">
        <v>36</v>
      </c>
    </row>
    <row r="24" spans="1:7" x14ac:dyDescent="0.25">
      <c r="A24" t="s">
        <v>32</v>
      </c>
      <c r="B24" t="s">
        <v>38</v>
      </c>
      <c r="C24" t="s">
        <v>39</v>
      </c>
      <c r="D24" s="7">
        <v>44804</v>
      </c>
      <c r="E24" t="s">
        <v>43</v>
      </c>
      <c r="F24" s="8">
        <v>80960</v>
      </c>
      <c r="G24" t="s">
        <v>36</v>
      </c>
    </row>
    <row r="25" spans="1:7" x14ac:dyDescent="0.25">
      <c r="A25" t="s">
        <v>32</v>
      </c>
      <c r="B25" t="s">
        <v>33</v>
      </c>
      <c r="C25" t="s">
        <v>34</v>
      </c>
      <c r="D25" s="7">
        <v>44816</v>
      </c>
      <c r="E25" t="s">
        <v>37</v>
      </c>
      <c r="F25" s="8">
        <v>958686</v>
      </c>
      <c r="G25" t="s">
        <v>36</v>
      </c>
    </row>
    <row r="26" spans="1:7" x14ac:dyDescent="0.25">
      <c r="A26" t="s">
        <v>32</v>
      </c>
      <c r="B26" t="s">
        <v>33</v>
      </c>
      <c r="C26" t="s">
        <v>34</v>
      </c>
      <c r="D26" s="7">
        <v>44827</v>
      </c>
      <c r="E26" t="s">
        <v>52</v>
      </c>
      <c r="F26" s="8">
        <v>159000</v>
      </c>
      <c r="G26" t="s">
        <v>36</v>
      </c>
    </row>
    <row r="27" spans="1:7" x14ac:dyDescent="0.25">
      <c r="A27" t="s">
        <v>32</v>
      </c>
      <c r="B27" t="s">
        <v>38</v>
      </c>
      <c r="C27" t="s">
        <v>39</v>
      </c>
      <c r="D27" s="7">
        <v>44831</v>
      </c>
      <c r="E27" t="s">
        <v>53</v>
      </c>
      <c r="F27" s="8">
        <v>833333.34</v>
      </c>
      <c r="G27" t="s">
        <v>36</v>
      </c>
    </row>
    <row r="28" spans="1:7" x14ac:dyDescent="0.25">
      <c r="A28" t="s">
        <v>32</v>
      </c>
      <c r="B28" t="s">
        <v>33</v>
      </c>
      <c r="C28" t="s">
        <v>34</v>
      </c>
      <c r="D28" s="7">
        <v>44832</v>
      </c>
      <c r="E28" t="s">
        <v>52</v>
      </c>
      <c r="F28" s="8">
        <v>104000</v>
      </c>
      <c r="G28" t="s">
        <v>36</v>
      </c>
    </row>
    <row r="29" spans="1:7" x14ac:dyDescent="0.25">
      <c r="A29" t="s">
        <v>32</v>
      </c>
      <c r="B29" t="s">
        <v>33</v>
      </c>
      <c r="C29" t="s">
        <v>34</v>
      </c>
      <c r="D29" s="7">
        <v>44834</v>
      </c>
      <c r="E29" t="s">
        <v>45</v>
      </c>
      <c r="F29" s="8">
        <v>540652</v>
      </c>
      <c r="G29" t="s">
        <v>36</v>
      </c>
    </row>
    <row r="30" spans="1:7" x14ac:dyDescent="0.25">
      <c r="A30" t="s">
        <v>32</v>
      </c>
      <c r="B30" t="s">
        <v>33</v>
      </c>
      <c r="C30" t="s">
        <v>39</v>
      </c>
      <c r="D30" s="7">
        <v>44844</v>
      </c>
      <c r="E30" t="s">
        <v>54</v>
      </c>
      <c r="F30" s="8">
        <v>251448</v>
      </c>
      <c r="G30" t="s">
        <v>36</v>
      </c>
    </row>
    <row r="31" spans="1:7" x14ac:dyDescent="0.25">
      <c r="A31" t="s">
        <v>32</v>
      </c>
      <c r="B31" t="s">
        <v>33</v>
      </c>
      <c r="C31" t="s">
        <v>34</v>
      </c>
      <c r="D31" s="7">
        <v>44848</v>
      </c>
      <c r="E31" t="s">
        <v>37</v>
      </c>
      <c r="F31" s="8">
        <v>695668</v>
      </c>
      <c r="G31" t="s">
        <v>36</v>
      </c>
    </row>
    <row r="32" spans="1:7" x14ac:dyDescent="0.25">
      <c r="A32" t="s">
        <v>32</v>
      </c>
      <c r="B32" t="s">
        <v>38</v>
      </c>
      <c r="C32" t="s">
        <v>39</v>
      </c>
      <c r="D32" s="7">
        <v>44848</v>
      </c>
      <c r="E32" t="s">
        <v>55</v>
      </c>
      <c r="F32" s="8">
        <v>2863387.8</v>
      </c>
      <c r="G32" t="s">
        <v>36</v>
      </c>
    </row>
    <row r="33" spans="1:7" x14ac:dyDescent="0.25">
      <c r="A33" t="s">
        <v>32</v>
      </c>
      <c r="B33" t="s">
        <v>38</v>
      </c>
      <c r="C33" t="s">
        <v>34</v>
      </c>
      <c r="D33" s="7">
        <v>44849</v>
      </c>
      <c r="E33" t="s">
        <v>56</v>
      </c>
      <c r="F33" s="8">
        <v>187809.6</v>
      </c>
      <c r="G33" t="s">
        <v>36</v>
      </c>
    </row>
    <row r="34" spans="1:7" x14ac:dyDescent="0.25">
      <c r="A34" t="s">
        <v>32</v>
      </c>
      <c r="B34" t="s">
        <v>38</v>
      </c>
      <c r="C34" t="s">
        <v>39</v>
      </c>
      <c r="D34" s="7">
        <v>44851</v>
      </c>
      <c r="E34" t="s">
        <v>53</v>
      </c>
      <c r="F34" s="8">
        <v>660714.28</v>
      </c>
      <c r="G34" t="s">
        <v>36</v>
      </c>
    </row>
    <row r="35" spans="1:7" x14ac:dyDescent="0.25">
      <c r="A35" t="s">
        <v>32</v>
      </c>
      <c r="B35" t="s">
        <v>38</v>
      </c>
      <c r="C35" t="s">
        <v>39</v>
      </c>
      <c r="D35" s="7">
        <v>44856</v>
      </c>
      <c r="E35" t="s">
        <v>55</v>
      </c>
      <c r="F35" s="8">
        <v>1660303.52</v>
      </c>
      <c r="G35" t="s">
        <v>36</v>
      </c>
    </row>
    <row r="36" spans="1:7" x14ac:dyDescent="0.25">
      <c r="A36" t="s">
        <v>32</v>
      </c>
      <c r="B36" t="s">
        <v>33</v>
      </c>
      <c r="C36" t="s">
        <v>34</v>
      </c>
      <c r="D36" s="7">
        <v>44860</v>
      </c>
      <c r="E36" t="s">
        <v>48</v>
      </c>
      <c r="F36" s="8">
        <v>235144</v>
      </c>
      <c r="G36" t="s">
        <v>36</v>
      </c>
    </row>
    <row r="37" spans="1:7" x14ac:dyDescent="0.25">
      <c r="A37" t="s">
        <v>32</v>
      </c>
      <c r="B37" t="s">
        <v>38</v>
      </c>
      <c r="C37" t="s">
        <v>39</v>
      </c>
      <c r="D37" s="7">
        <v>44861</v>
      </c>
      <c r="E37" t="s">
        <v>49</v>
      </c>
      <c r="F37" s="8">
        <v>1904762</v>
      </c>
      <c r="G37" t="s">
        <v>36</v>
      </c>
    </row>
    <row r="38" spans="1:7" x14ac:dyDescent="0.25">
      <c r="A38" t="s">
        <v>32</v>
      </c>
      <c r="B38" t="s">
        <v>33</v>
      </c>
      <c r="C38" t="s">
        <v>39</v>
      </c>
      <c r="D38" s="7">
        <v>44864</v>
      </c>
      <c r="E38" t="s">
        <v>50</v>
      </c>
      <c r="F38" s="8">
        <v>285600</v>
      </c>
      <c r="G38" t="s">
        <v>36</v>
      </c>
    </row>
    <row r="39" spans="1:7" x14ac:dyDescent="0.25">
      <c r="A39" t="s">
        <v>32</v>
      </c>
      <c r="B39" t="s">
        <v>33</v>
      </c>
      <c r="C39" t="s">
        <v>34</v>
      </c>
      <c r="D39" s="7">
        <v>44872</v>
      </c>
      <c r="E39" t="s">
        <v>35</v>
      </c>
      <c r="F39" s="8">
        <v>306890</v>
      </c>
      <c r="G39" t="s">
        <v>36</v>
      </c>
    </row>
    <row r="40" spans="1:7" x14ac:dyDescent="0.25">
      <c r="A40" t="s">
        <v>32</v>
      </c>
      <c r="B40" t="s">
        <v>33</v>
      </c>
      <c r="C40" t="s">
        <v>34</v>
      </c>
      <c r="D40" s="7">
        <v>44872</v>
      </c>
      <c r="E40" t="s">
        <v>37</v>
      </c>
      <c r="F40" s="8">
        <v>918134</v>
      </c>
      <c r="G40" t="s">
        <v>36</v>
      </c>
    </row>
    <row r="41" spans="1:7" x14ac:dyDescent="0.25">
      <c r="A41" t="s">
        <v>32</v>
      </c>
      <c r="B41" t="s">
        <v>38</v>
      </c>
      <c r="C41" t="s">
        <v>39</v>
      </c>
      <c r="D41" s="7">
        <v>44874</v>
      </c>
      <c r="E41" t="s">
        <v>57</v>
      </c>
      <c r="F41" s="8">
        <v>619047.62</v>
      </c>
      <c r="G41" t="s">
        <v>36</v>
      </c>
    </row>
    <row r="42" spans="1:7" x14ac:dyDescent="0.25">
      <c r="A42" t="s">
        <v>32</v>
      </c>
      <c r="B42" t="s">
        <v>38</v>
      </c>
      <c r="C42" t="s">
        <v>39</v>
      </c>
      <c r="D42" s="7">
        <v>44874</v>
      </c>
      <c r="E42" t="s">
        <v>58</v>
      </c>
      <c r="F42" s="8">
        <v>581486.66</v>
      </c>
      <c r="G42" t="s">
        <v>36</v>
      </c>
    </row>
    <row r="43" spans="1:7" x14ac:dyDescent="0.25">
      <c r="A43" t="s">
        <v>32</v>
      </c>
      <c r="B43" t="s">
        <v>33</v>
      </c>
      <c r="C43" t="s">
        <v>34</v>
      </c>
      <c r="D43" s="7">
        <v>44877</v>
      </c>
      <c r="E43" t="s">
        <v>59</v>
      </c>
      <c r="F43" s="8">
        <v>904482</v>
      </c>
      <c r="G43" t="s">
        <v>36</v>
      </c>
    </row>
    <row r="44" spans="1:7" x14ac:dyDescent="0.25">
      <c r="A44" t="s">
        <v>32</v>
      </c>
      <c r="B44" t="s">
        <v>38</v>
      </c>
      <c r="C44" t="s">
        <v>34</v>
      </c>
      <c r="D44" s="7">
        <v>44879</v>
      </c>
      <c r="E44" t="s">
        <v>56</v>
      </c>
      <c r="F44" s="8">
        <v>948429.9</v>
      </c>
      <c r="G44" t="s">
        <v>36</v>
      </c>
    </row>
    <row r="45" spans="1:7" x14ac:dyDescent="0.25">
      <c r="A45" t="s">
        <v>32</v>
      </c>
      <c r="B45" t="s">
        <v>33</v>
      </c>
      <c r="C45" t="s">
        <v>34</v>
      </c>
      <c r="D45" s="7">
        <v>44883</v>
      </c>
      <c r="E45" t="s">
        <v>48</v>
      </c>
      <c r="F45" s="8">
        <v>269331</v>
      </c>
      <c r="G45" t="s">
        <v>36</v>
      </c>
    </row>
    <row r="46" spans="1:7" x14ac:dyDescent="0.25">
      <c r="A46" t="s">
        <v>32</v>
      </c>
      <c r="B46" t="s">
        <v>33</v>
      </c>
      <c r="C46" t="s">
        <v>34</v>
      </c>
      <c r="D46" s="7">
        <v>44886</v>
      </c>
      <c r="E46" t="s">
        <v>37</v>
      </c>
      <c r="F46" s="8">
        <v>885772</v>
      </c>
      <c r="G46" t="s">
        <v>36</v>
      </c>
    </row>
    <row r="47" spans="1:7" x14ac:dyDescent="0.25">
      <c r="A47" t="s">
        <v>32</v>
      </c>
      <c r="B47" t="s">
        <v>33</v>
      </c>
      <c r="C47" t="s">
        <v>34</v>
      </c>
      <c r="D47" s="7">
        <v>44886</v>
      </c>
      <c r="E47" t="s">
        <v>52</v>
      </c>
      <c r="F47" s="8">
        <v>109000</v>
      </c>
      <c r="G47" t="s">
        <v>36</v>
      </c>
    </row>
    <row r="48" spans="1:7" x14ac:dyDescent="0.25">
      <c r="A48" t="s">
        <v>32</v>
      </c>
      <c r="B48" t="s">
        <v>33</v>
      </c>
      <c r="C48" t="s">
        <v>34</v>
      </c>
      <c r="D48" s="7">
        <v>44888</v>
      </c>
      <c r="E48" t="s">
        <v>35</v>
      </c>
      <c r="F48" s="8">
        <v>172380</v>
      </c>
      <c r="G48" t="s">
        <v>36</v>
      </c>
    </row>
    <row r="49" spans="1:7" x14ac:dyDescent="0.25">
      <c r="A49" t="s">
        <v>32</v>
      </c>
      <c r="B49" t="s">
        <v>33</v>
      </c>
      <c r="C49" t="s">
        <v>39</v>
      </c>
      <c r="D49" s="7">
        <v>44892</v>
      </c>
      <c r="E49" t="s">
        <v>60</v>
      </c>
      <c r="F49" s="8">
        <v>285714</v>
      </c>
      <c r="G49" t="s">
        <v>36</v>
      </c>
    </row>
    <row r="50" spans="1:7" x14ac:dyDescent="0.25">
      <c r="A50" t="s">
        <v>32</v>
      </c>
      <c r="B50" t="s">
        <v>38</v>
      </c>
      <c r="C50" t="s">
        <v>39</v>
      </c>
      <c r="D50" s="7">
        <v>44893</v>
      </c>
      <c r="E50" t="s">
        <v>61</v>
      </c>
      <c r="F50" s="8">
        <v>447619</v>
      </c>
      <c r="G50" t="s">
        <v>36</v>
      </c>
    </row>
    <row r="51" spans="1:7" x14ac:dyDescent="0.25">
      <c r="A51" t="s">
        <v>32</v>
      </c>
      <c r="B51" t="s">
        <v>38</v>
      </c>
      <c r="C51" t="s">
        <v>34</v>
      </c>
      <c r="D51" s="7">
        <v>44893</v>
      </c>
      <c r="E51" t="s">
        <v>56</v>
      </c>
      <c r="F51" s="8">
        <v>799952.88</v>
      </c>
      <c r="G51" t="s">
        <v>36</v>
      </c>
    </row>
    <row r="52" spans="1:7" x14ac:dyDescent="0.25">
      <c r="A52" t="s">
        <v>32</v>
      </c>
      <c r="B52" t="s">
        <v>33</v>
      </c>
      <c r="C52" t="s">
        <v>34</v>
      </c>
      <c r="D52" s="7">
        <v>44896</v>
      </c>
      <c r="E52" t="s">
        <v>48</v>
      </c>
      <c r="F52" s="8">
        <v>360038</v>
      </c>
      <c r="G52" t="s">
        <v>36</v>
      </c>
    </row>
    <row r="53" spans="1:7" x14ac:dyDescent="0.25">
      <c r="A53" t="s">
        <v>32</v>
      </c>
      <c r="B53" t="s">
        <v>33</v>
      </c>
      <c r="C53" t="s">
        <v>34</v>
      </c>
      <c r="D53" s="7">
        <v>44896</v>
      </c>
      <c r="E53" t="s">
        <v>37</v>
      </c>
      <c r="F53" s="8">
        <v>877606</v>
      </c>
      <c r="G53" t="s">
        <v>36</v>
      </c>
    </row>
    <row r="54" spans="1:7" x14ac:dyDescent="0.25">
      <c r="A54" t="s">
        <v>32</v>
      </c>
      <c r="B54" t="s">
        <v>33</v>
      </c>
      <c r="C54" t="s">
        <v>34</v>
      </c>
      <c r="D54" s="7">
        <v>44900</v>
      </c>
      <c r="E54" t="s">
        <v>35</v>
      </c>
      <c r="F54" s="8">
        <v>117047.4</v>
      </c>
      <c r="G54" t="s">
        <v>36</v>
      </c>
    </row>
    <row r="55" spans="1:7" x14ac:dyDescent="0.25">
      <c r="A55" t="s">
        <v>32</v>
      </c>
      <c r="B55" t="s">
        <v>33</v>
      </c>
      <c r="C55" t="s">
        <v>34</v>
      </c>
      <c r="D55" s="7">
        <v>44904</v>
      </c>
      <c r="E55" t="s">
        <v>37</v>
      </c>
      <c r="F55" s="8">
        <v>783277</v>
      </c>
      <c r="G55" t="s">
        <v>36</v>
      </c>
    </row>
    <row r="56" spans="1:7" x14ac:dyDescent="0.25">
      <c r="A56" t="s">
        <v>32</v>
      </c>
      <c r="B56" t="s">
        <v>33</v>
      </c>
      <c r="C56" t="s">
        <v>34</v>
      </c>
      <c r="D56" s="7">
        <v>44914</v>
      </c>
      <c r="E56" t="s">
        <v>48</v>
      </c>
      <c r="F56" s="8">
        <v>163296</v>
      </c>
      <c r="G56" t="s">
        <v>36</v>
      </c>
    </row>
    <row r="57" spans="1:7" x14ac:dyDescent="0.25">
      <c r="A57" t="s">
        <v>32</v>
      </c>
      <c r="B57" t="s">
        <v>33</v>
      </c>
      <c r="C57" t="s">
        <v>34</v>
      </c>
      <c r="D57" s="7">
        <v>44915</v>
      </c>
      <c r="E57" t="s">
        <v>41</v>
      </c>
      <c r="F57" s="8">
        <v>531095</v>
      </c>
      <c r="G57" t="s">
        <v>36</v>
      </c>
    </row>
    <row r="58" spans="1:7" x14ac:dyDescent="0.25">
      <c r="A58" t="s">
        <v>32</v>
      </c>
      <c r="B58" t="s">
        <v>33</v>
      </c>
      <c r="C58" t="s">
        <v>39</v>
      </c>
      <c r="D58" s="7">
        <v>44916</v>
      </c>
      <c r="E58" t="s">
        <v>60</v>
      </c>
      <c r="F58" s="8">
        <v>459050</v>
      </c>
      <c r="G58" t="s">
        <v>36</v>
      </c>
    </row>
    <row r="59" spans="1:7" x14ac:dyDescent="0.25">
      <c r="A59" t="s">
        <v>32</v>
      </c>
      <c r="B59" t="s">
        <v>33</v>
      </c>
      <c r="C59" t="s">
        <v>34</v>
      </c>
      <c r="D59" s="7">
        <v>44922</v>
      </c>
      <c r="E59" t="s">
        <v>35</v>
      </c>
      <c r="F59" s="8">
        <v>279334</v>
      </c>
      <c r="G59" t="s">
        <v>36</v>
      </c>
    </row>
    <row r="60" spans="1:7" x14ac:dyDescent="0.25">
      <c r="A60" t="s">
        <v>32</v>
      </c>
      <c r="B60" t="s">
        <v>33</v>
      </c>
      <c r="C60" t="s">
        <v>34</v>
      </c>
      <c r="D60" s="7">
        <v>44929</v>
      </c>
      <c r="E60" t="s">
        <v>59</v>
      </c>
      <c r="F60" s="8">
        <v>1026289</v>
      </c>
      <c r="G60" t="s">
        <v>36</v>
      </c>
    </row>
    <row r="61" spans="1:7" x14ac:dyDescent="0.25">
      <c r="A61" t="s">
        <v>32</v>
      </c>
      <c r="B61" t="s">
        <v>38</v>
      </c>
      <c r="C61" t="s">
        <v>39</v>
      </c>
      <c r="D61" s="7">
        <v>44931</v>
      </c>
      <c r="E61" t="s">
        <v>47</v>
      </c>
      <c r="F61" s="8">
        <v>331048</v>
      </c>
      <c r="G61" t="s">
        <v>36</v>
      </c>
    </row>
    <row r="62" spans="1:7" x14ac:dyDescent="0.25">
      <c r="A62" t="s">
        <v>32</v>
      </c>
      <c r="B62" t="s">
        <v>33</v>
      </c>
      <c r="C62" t="s">
        <v>34</v>
      </c>
      <c r="D62" s="7">
        <v>44933</v>
      </c>
      <c r="E62" t="s">
        <v>35</v>
      </c>
      <c r="F62" s="8">
        <v>163045</v>
      </c>
      <c r="G62" t="s">
        <v>36</v>
      </c>
    </row>
    <row r="63" spans="1:7" x14ac:dyDescent="0.25">
      <c r="A63" t="s">
        <v>32</v>
      </c>
      <c r="B63" t="s">
        <v>33</v>
      </c>
      <c r="C63" t="s">
        <v>34</v>
      </c>
      <c r="D63" s="7">
        <v>44939</v>
      </c>
      <c r="E63" t="s">
        <v>57</v>
      </c>
      <c r="F63" s="8">
        <v>697762.6</v>
      </c>
      <c r="G63" t="s">
        <v>36</v>
      </c>
    </row>
    <row r="64" spans="1:7" x14ac:dyDescent="0.25">
      <c r="A64" t="s">
        <v>32</v>
      </c>
      <c r="B64" t="s">
        <v>38</v>
      </c>
      <c r="C64" t="s">
        <v>39</v>
      </c>
      <c r="D64" s="7">
        <v>44940</v>
      </c>
      <c r="E64" t="s">
        <v>58</v>
      </c>
      <c r="F64" s="8">
        <v>474285.72</v>
      </c>
      <c r="G64" t="s">
        <v>36</v>
      </c>
    </row>
    <row r="65" spans="1:7" x14ac:dyDescent="0.25">
      <c r="A65" t="s">
        <v>32</v>
      </c>
      <c r="B65" t="s">
        <v>38</v>
      </c>
      <c r="C65" t="s">
        <v>39</v>
      </c>
      <c r="D65" s="7">
        <v>44947</v>
      </c>
      <c r="E65" t="s">
        <v>62</v>
      </c>
      <c r="F65" s="8">
        <v>1267842.1599999999</v>
      </c>
      <c r="G65" t="s">
        <v>36</v>
      </c>
    </row>
    <row r="66" spans="1:7" x14ac:dyDescent="0.25">
      <c r="A66" t="s">
        <v>32</v>
      </c>
      <c r="B66" t="s">
        <v>38</v>
      </c>
      <c r="C66" t="s">
        <v>34</v>
      </c>
      <c r="D66" s="7">
        <v>44949</v>
      </c>
      <c r="E66" t="s">
        <v>63</v>
      </c>
      <c r="F66" s="8">
        <v>238095.48</v>
      </c>
      <c r="G66" t="s">
        <v>36</v>
      </c>
    </row>
    <row r="67" spans="1:7" x14ac:dyDescent="0.25">
      <c r="A67" t="s">
        <v>32</v>
      </c>
      <c r="B67" t="s">
        <v>33</v>
      </c>
      <c r="C67" t="s">
        <v>34</v>
      </c>
      <c r="D67" s="7">
        <v>44953</v>
      </c>
      <c r="E67" t="s">
        <v>42</v>
      </c>
      <c r="F67" s="8">
        <v>660143</v>
      </c>
      <c r="G67" t="s">
        <v>36</v>
      </c>
    </row>
    <row r="68" spans="1:7" x14ac:dyDescent="0.25">
      <c r="A68" t="s">
        <v>32</v>
      </c>
      <c r="B68" t="s">
        <v>33</v>
      </c>
      <c r="C68" t="s">
        <v>39</v>
      </c>
      <c r="D68" s="7">
        <v>44957</v>
      </c>
      <c r="E68" t="s">
        <v>61</v>
      </c>
      <c r="F68" s="8">
        <v>666666.66</v>
      </c>
      <c r="G68" t="s">
        <v>36</v>
      </c>
    </row>
    <row r="69" spans="1:7" x14ac:dyDescent="0.25">
      <c r="A69" t="s">
        <v>32</v>
      </c>
      <c r="B69" t="s">
        <v>38</v>
      </c>
      <c r="C69" t="s">
        <v>39</v>
      </c>
      <c r="D69" s="7">
        <v>44957</v>
      </c>
      <c r="E69" t="s">
        <v>43</v>
      </c>
      <c r="F69" s="8">
        <v>285731.20000000001</v>
      </c>
      <c r="G69" t="s">
        <v>36</v>
      </c>
    </row>
    <row r="70" spans="1:7" x14ac:dyDescent="0.25">
      <c r="A70" t="s">
        <v>32</v>
      </c>
      <c r="B70" t="s">
        <v>33</v>
      </c>
      <c r="C70" t="s">
        <v>34</v>
      </c>
      <c r="D70" s="7">
        <v>44963</v>
      </c>
      <c r="E70" t="s">
        <v>59</v>
      </c>
      <c r="F70" s="8">
        <v>491149.52</v>
      </c>
      <c r="G70" t="s">
        <v>36</v>
      </c>
    </row>
    <row r="71" spans="1:7" x14ac:dyDescent="0.25">
      <c r="A71" t="s">
        <v>32</v>
      </c>
      <c r="B71" t="s">
        <v>33</v>
      </c>
      <c r="C71" t="s">
        <v>34</v>
      </c>
      <c r="D71" s="7">
        <v>44967</v>
      </c>
      <c r="E71" t="s">
        <v>48</v>
      </c>
      <c r="F71" s="8">
        <v>260708</v>
      </c>
      <c r="G71" t="s">
        <v>36</v>
      </c>
    </row>
    <row r="72" spans="1:7" x14ac:dyDescent="0.25">
      <c r="A72" t="s">
        <v>32</v>
      </c>
      <c r="B72" t="s">
        <v>33</v>
      </c>
      <c r="C72" t="s">
        <v>39</v>
      </c>
      <c r="D72" s="7">
        <v>44969</v>
      </c>
      <c r="E72" t="s">
        <v>60</v>
      </c>
      <c r="F72" s="8">
        <v>95240</v>
      </c>
      <c r="G72" t="s">
        <v>36</v>
      </c>
    </row>
    <row r="73" spans="1:7" x14ac:dyDescent="0.25">
      <c r="A73" t="s">
        <v>32</v>
      </c>
      <c r="B73" t="s">
        <v>33</v>
      </c>
      <c r="C73" t="s">
        <v>34</v>
      </c>
      <c r="D73" s="7">
        <v>44971</v>
      </c>
      <c r="E73" t="s">
        <v>64</v>
      </c>
      <c r="F73" s="8">
        <v>958958</v>
      </c>
      <c r="G73" t="s">
        <v>36</v>
      </c>
    </row>
    <row r="74" spans="1:7" x14ac:dyDescent="0.25">
      <c r="A74" t="s">
        <v>32</v>
      </c>
      <c r="B74" t="s">
        <v>33</v>
      </c>
      <c r="C74" t="s">
        <v>34</v>
      </c>
      <c r="D74" s="7">
        <v>44972</v>
      </c>
      <c r="E74" t="s">
        <v>35</v>
      </c>
      <c r="F74" s="8">
        <v>339754</v>
      </c>
      <c r="G74" t="s">
        <v>36</v>
      </c>
    </row>
    <row r="75" spans="1:7" x14ac:dyDescent="0.25">
      <c r="A75" t="s">
        <v>32</v>
      </c>
      <c r="B75" t="s">
        <v>33</v>
      </c>
      <c r="C75" t="s">
        <v>34</v>
      </c>
      <c r="D75" s="7">
        <v>44981</v>
      </c>
      <c r="E75" t="s">
        <v>59</v>
      </c>
      <c r="F75" s="8">
        <v>664915</v>
      </c>
      <c r="G75" t="s">
        <v>36</v>
      </c>
    </row>
    <row r="76" spans="1:7" x14ac:dyDescent="0.25">
      <c r="A76" t="s">
        <v>32</v>
      </c>
      <c r="B76" t="s">
        <v>33</v>
      </c>
      <c r="C76" t="s">
        <v>34</v>
      </c>
      <c r="D76" s="7">
        <v>45000</v>
      </c>
      <c r="E76" t="s">
        <v>65</v>
      </c>
      <c r="F76" s="8">
        <v>150361</v>
      </c>
      <c r="G76" t="s">
        <v>36</v>
      </c>
    </row>
    <row r="77" spans="1:7" x14ac:dyDescent="0.25">
      <c r="A77" t="s">
        <v>32</v>
      </c>
      <c r="B77" t="s">
        <v>33</v>
      </c>
      <c r="C77" t="s">
        <v>34</v>
      </c>
      <c r="D77" s="7">
        <v>45001</v>
      </c>
      <c r="E77" t="s">
        <v>35</v>
      </c>
      <c r="F77" s="8">
        <v>121905</v>
      </c>
      <c r="G77" t="s">
        <v>36</v>
      </c>
    </row>
    <row r="78" spans="1:7" x14ac:dyDescent="0.25">
      <c r="A78" t="s">
        <v>32</v>
      </c>
      <c r="B78" t="s">
        <v>38</v>
      </c>
      <c r="C78" t="s">
        <v>39</v>
      </c>
      <c r="D78" s="7">
        <v>45006</v>
      </c>
      <c r="E78" t="s">
        <v>66</v>
      </c>
      <c r="F78" s="8">
        <v>919047.61</v>
      </c>
      <c r="G78" t="s">
        <v>36</v>
      </c>
    </row>
    <row r="79" spans="1:7" x14ac:dyDescent="0.25">
      <c r="A79" t="s">
        <v>32</v>
      </c>
      <c r="B79" t="s">
        <v>33</v>
      </c>
      <c r="C79" t="s">
        <v>34</v>
      </c>
      <c r="D79" s="7">
        <v>45007</v>
      </c>
      <c r="E79" t="s">
        <v>59</v>
      </c>
      <c r="F79" s="8">
        <v>641279</v>
      </c>
      <c r="G79" t="s">
        <v>36</v>
      </c>
    </row>
    <row r="80" spans="1:7" x14ac:dyDescent="0.25">
      <c r="A80" t="s">
        <v>32</v>
      </c>
      <c r="B80" t="s">
        <v>38</v>
      </c>
      <c r="C80" t="s">
        <v>39</v>
      </c>
      <c r="D80" s="7">
        <v>45010</v>
      </c>
      <c r="E80" t="s">
        <v>67</v>
      </c>
      <c r="F80" s="8">
        <v>190464</v>
      </c>
      <c r="G80" t="s">
        <v>36</v>
      </c>
    </row>
    <row r="81" spans="1:7" x14ac:dyDescent="0.25">
      <c r="A81" t="s">
        <v>32</v>
      </c>
      <c r="B81" t="s">
        <v>33</v>
      </c>
      <c r="C81" t="s">
        <v>34</v>
      </c>
      <c r="D81" s="7">
        <v>45012</v>
      </c>
      <c r="E81" t="s">
        <v>41</v>
      </c>
      <c r="F81" s="8">
        <v>786228.6</v>
      </c>
      <c r="G81" t="s">
        <v>36</v>
      </c>
    </row>
    <row r="82" spans="1:7" x14ac:dyDescent="0.25">
      <c r="A82" t="s">
        <v>32</v>
      </c>
      <c r="B82" t="s">
        <v>38</v>
      </c>
      <c r="C82" t="s">
        <v>39</v>
      </c>
      <c r="D82" s="7">
        <v>45012</v>
      </c>
      <c r="E82" t="s">
        <v>43</v>
      </c>
      <c r="F82" s="8">
        <v>778208</v>
      </c>
      <c r="G82" t="s">
        <v>36</v>
      </c>
    </row>
    <row r="83" spans="1:7" x14ac:dyDescent="0.25">
      <c r="A83" t="s">
        <v>32</v>
      </c>
      <c r="B83" t="s">
        <v>33</v>
      </c>
      <c r="C83" t="s">
        <v>39</v>
      </c>
      <c r="D83" s="7">
        <v>45013</v>
      </c>
      <c r="E83" t="s">
        <v>47</v>
      </c>
      <c r="F83" s="8">
        <v>488800</v>
      </c>
      <c r="G83" t="s">
        <v>36</v>
      </c>
    </row>
    <row r="84" spans="1:7" x14ac:dyDescent="0.25">
      <c r="A84" t="s">
        <v>32</v>
      </c>
      <c r="B84" t="s">
        <v>38</v>
      </c>
      <c r="C84" t="s">
        <v>39</v>
      </c>
      <c r="D84" s="7">
        <v>45014</v>
      </c>
      <c r="E84" t="s">
        <v>58</v>
      </c>
      <c r="F84" s="8">
        <v>358095.24</v>
      </c>
      <c r="G84" t="s">
        <v>36</v>
      </c>
    </row>
    <row r="85" spans="1:7" x14ac:dyDescent="0.25">
      <c r="A85" t="s">
        <v>32</v>
      </c>
      <c r="B85" t="s">
        <v>33</v>
      </c>
      <c r="C85" t="s">
        <v>39</v>
      </c>
      <c r="D85" s="7">
        <v>45015</v>
      </c>
      <c r="E85" t="s">
        <v>51</v>
      </c>
      <c r="F85" s="8">
        <v>216000</v>
      </c>
      <c r="G85" t="s">
        <v>36</v>
      </c>
    </row>
    <row r="86" spans="1:7" x14ac:dyDescent="0.25">
      <c r="A86" t="s">
        <v>32</v>
      </c>
      <c r="B86" t="s">
        <v>38</v>
      </c>
      <c r="C86" t="s">
        <v>39</v>
      </c>
      <c r="D86" s="7">
        <v>45015</v>
      </c>
      <c r="E86" t="s">
        <v>58</v>
      </c>
      <c r="F86" s="8">
        <v>308571.42</v>
      </c>
      <c r="G86" t="s">
        <v>36</v>
      </c>
    </row>
    <row r="87" spans="1:7" x14ac:dyDescent="0.25">
      <c r="A87" t="s">
        <v>32</v>
      </c>
      <c r="B87" t="s">
        <v>33</v>
      </c>
      <c r="C87" t="s">
        <v>34</v>
      </c>
      <c r="D87" s="7">
        <v>45016</v>
      </c>
      <c r="E87" t="s">
        <v>52</v>
      </c>
      <c r="F87" s="8">
        <v>85180</v>
      </c>
      <c r="G87" t="s">
        <v>36</v>
      </c>
    </row>
    <row r="88" spans="1:7" x14ac:dyDescent="0.25">
      <c r="A88" t="s">
        <v>32</v>
      </c>
      <c r="B88" t="s">
        <v>33</v>
      </c>
      <c r="C88" t="s">
        <v>34</v>
      </c>
      <c r="D88" s="7">
        <v>45016</v>
      </c>
      <c r="E88" t="s">
        <v>68</v>
      </c>
      <c r="F88" s="8">
        <v>48191</v>
      </c>
      <c r="G88" t="s">
        <v>36</v>
      </c>
    </row>
    <row r="89" spans="1:7" x14ac:dyDescent="0.25">
      <c r="A89" t="s">
        <v>32</v>
      </c>
      <c r="B89" t="s">
        <v>33</v>
      </c>
      <c r="C89" t="s">
        <v>34</v>
      </c>
      <c r="D89" s="7">
        <v>45021</v>
      </c>
      <c r="E89" t="s">
        <v>69</v>
      </c>
      <c r="F89" s="8">
        <v>372333</v>
      </c>
      <c r="G89" t="s">
        <v>70</v>
      </c>
    </row>
    <row r="90" spans="1:7" x14ac:dyDescent="0.25">
      <c r="A90" t="s">
        <v>32</v>
      </c>
      <c r="B90" t="s">
        <v>33</v>
      </c>
      <c r="C90" t="s">
        <v>34</v>
      </c>
      <c r="D90" s="7">
        <v>45027</v>
      </c>
      <c r="E90" t="s">
        <v>48</v>
      </c>
      <c r="F90" s="8">
        <v>395262</v>
      </c>
      <c r="G90" t="s">
        <v>70</v>
      </c>
    </row>
    <row r="91" spans="1:7" x14ac:dyDescent="0.25">
      <c r="A91" t="s">
        <v>32</v>
      </c>
      <c r="B91" t="s">
        <v>38</v>
      </c>
      <c r="C91" t="s">
        <v>39</v>
      </c>
      <c r="D91" s="7">
        <v>45030</v>
      </c>
      <c r="E91" t="s">
        <v>47</v>
      </c>
      <c r="F91" s="8">
        <v>297143</v>
      </c>
      <c r="G91" t="s">
        <v>70</v>
      </c>
    </row>
    <row r="92" spans="1:7" x14ac:dyDescent="0.25">
      <c r="A92" t="s">
        <v>32</v>
      </c>
      <c r="B92" t="s">
        <v>38</v>
      </c>
      <c r="C92" t="s">
        <v>39</v>
      </c>
      <c r="D92" s="7">
        <v>45043</v>
      </c>
      <c r="E92" t="s">
        <v>71</v>
      </c>
      <c r="F92" s="8">
        <v>595250</v>
      </c>
      <c r="G92" t="s">
        <v>70</v>
      </c>
    </row>
    <row r="93" spans="1:7" x14ac:dyDescent="0.25">
      <c r="A93" t="s">
        <v>32</v>
      </c>
      <c r="B93" t="s">
        <v>33</v>
      </c>
      <c r="C93" t="s">
        <v>34</v>
      </c>
      <c r="D93" s="7">
        <v>45045</v>
      </c>
      <c r="E93" t="s">
        <v>72</v>
      </c>
      <c r="F93" s="8">
        <v>117619</v>
      </c>
      <c r="G93" t="s">
        <v>70</v>
      </c>
    </row>
    <row r="94" spans="1:7" x14ac:dyDescent="0.25">
      <c r="A94" t="s">
        <v>32</v>
      </c>
      <c r="B94" t="s">
        <v>38</v>
      </c>
      <c r="C94" t="s">
        <v>39</v>
      </c>
      <c r="D94" s="7">
        <v>45045</v>
      </c>
      <c r="E94" t="s">
        <v>58</v>
      </c>
      <c r="F94" s="8">
        <v>172952.38</v>
      </c>
      <c r="G94" t="s">
        <v>70</v>
      </c>
    </row>
    <row r="95" spans="1:7" x14ac:dyDescent="0.25">
      <c r="A95" t="s">
        <v>32</v>
      </c>
      <c r="B95" t="s">
        <v>38</v>
      </c>
      <c r="C95" t="s">
        <v>39</v>
      </c>
      <c r="D95" s="7">
        <v>45046</v>
      </c>
      <c r="E95" t="s">
        <v>50</v>
      </c>
      <c r="F95" s="8">
        <v>476190.48</v>
      </c>
      <c r="G95" t="s">
        <v>70</v>
      </c>
    </row>
    <row r="96" spans="1:7" x14ac:dyDescent="0.25">
      <c r="A96" t="s">
        <v>32</v>
      </c>
      <c r="B96" t="s">
        <v>33</v>
      </c>
      <c r="C96" t="s">
        <v>34</v>
      </c>
      <c r="D96" s="7">
        <v>45049</v>
      </c>
      <c r="E96" t="s">
        <v>73</v>
      </c>
      <c r="F96" s="8">
        <v>332257</v>
      </c>
      <c r="G96" t="s">
        <v>70</v>
      </c>
    </row>
    <row r="97" spans="1:7" x14ac:dyDescent="0.25">
      <c r="A97" t="s">
        <v>32</v>
      </c>
      <c r="B97" t="s">
        <v>33</v>
      </c>
      <c r="C97" t="s">
        <v>34</v>
      </c>
      <c r="D97" s="7">
        <v>45051</v>
      </c>
      <c r="E97" t="s">
        <v>48</v>
      </c>
      <c r="F97" s="8">
        <v>182857.60000000001</v>
      </c>
      <c r="G97" t="s">
        <v>70</v>
      </c>
    </row>
    <row r="98" spans="1:7" x14ac:dyDescent="0.25">
      <c r="A98" t="s">
        <v>32</v>
      </c>
      <c r="B98" t="s">
        <v>38</v>
      </c>
      <c r="C98" t="s">
        <v>39</v>
      </c>
      <c r="D98" s="7">
        <v>45051</v>
      </c>
      <c r="E98" t="s">
        <v>58</v>
      </c>
      <c r="F98" s="8">
        <v>17523.8</v>
      </c>
      <c r="G98" t="s">
        <v>70</v>
      </c>
    </row>
    <row r="99" spans="1:7" x14ac:dyDescent="0.25">
      <c r="A99" t="s">
        <v>32</v>
      </c>
      <c r="B99" t="s">
        <v>38</v>
      </c>
      <c r="C99" t="s">
        <v>39</v>
      </c>
      <c r="D99" s="7">
        <v>45052</v>
      </c>
      <c r="E99" t="s">
        <v>58</v>
      </c>
      <c r="F99" s="8">
        <v>290880</v>
      </c>
      <c r="G99" t="s">
        <v>70</v>
      </c>
    </row>
    <row r="100" spans="1:7" x14ac:dyDescent="0.25">
      <c r="A100" t="s">
        <v>32</v>
      </c>
      <c r="B100" t="s">
        <v>38</v>
      </c>
      <c r="C100" t="s">
        <v>39</v>
      </c>
      <c r="D100" s="7">
        <v>45052</v>
      </c>
      <c r="E100" t="s">
        <v>58</v>
      </c>
      <c r="F100" s="8">
        <v>242400</v>
      </c>
      <c r="G100" t="s">
        <v>70</v>
      </c>
    </row>
    <row r="101" spans="1:7" x14ac:dyDescent="0.25">
      <c r="A101" t="s">
        <v>32</v>
      </c>
      <c r="B101" t="s">
        <v>33</v>
      </c>
      <c r="C101" t="s">
        <v>34</v>
      </c>
      <c r="D101" s="7">
        <v>45055</v>
      </c>
      <c r="E101" t="s">
        <v>69</v>
      </c>
      <c r="F101" s="8">
        <v>880619</v>
      </c>
      <c r="G101" t="s">
        <v>70</v>
      </c>
    </row>
    <row r="102" spans="1:7" x14ac:dyDescent="0.25">
      <c r="A102" t="s">
        <v>32</v>
      </c>
      <c r="B102" t="s">
        <v>38</v>
      </c>
      <c r="C102" t="s">
        <v>34</v>
      </c>
      <c r="D102" s="7">
        <v>45057</v>
      </c>
      <c r="E102" t="s">
        <v>56</v>
      </c>
      <c r="F102" s="8">
        <v>860714.82</v>
      </c>
      <c r="G102" t="s">
        <v>70</v>
      </c>
    </row>
    <row r="103" spans="1:7" x14ac:dyDescent="0.25">
      <c r="A103" t="s">
        <v>32</v>
      </c>
      <c r="B103" t="s">
        <v>38</v>
      </c>
      <c r="C103" t="s">
        <v>39</v>
      </c>
      <c r="D103" s="7">
        <v>45059</v>
      </c>
      <c r="E103" t="s">
        <v>58</v>
      </c>
      <c r="F103" s="8">
        <v>704285.72</v>
      </c>
      <c r="G103" t="s">
        <v>70</v>
      </c>
    </row>
    <row r="104" spans="1:7" x14ac:dyDescent="0.25">
      <c r="A104" t="s">
        <v>32</v>
      </c>
      <c r="B104" t="s">
        <v>38</v>
      </c>
      <c r="C104" t="s">
        <v>39</v>
      </c>
      <c r="D104" s="7">
        <v>45060</v>
      </c>
      <c r="E104" t="s">
        <v>58</v>
      </c>
      <c r="F104" s="8">
        <v>267187.62</v>
      </c>
      <c r="G104" t="s">
        <v>70</v>
      </c>
    </row>
    <row r="105" spans="1:7" x14ac:dyDescent="0.25">
      <c r="A105" t="s">
        <v>32</v>
      </c>
      <c r="B105" t="s">
        <v>33</v>
      </c>
      <c r="C105" t="s">
        <v>34</v>
      </c>
      <c r="D105" s="7">
        <v>45068</v>
      </c>
      <c r="E105" t="s">
        <v>48</v>
      </c>
      <c r="F105" s="8">
        <v>282191</v>
      </c>
      <c r="G105" t="s">
        <v>70</v>
      </c>
    </row>
    <row r="106" spans="1:7" x14ac:dyDescent="0.25">
      <c r="A106" t="s">
        <v>32</v>
      </c>
      <c r="B106" t="s">
        <v>33</v>
      </c>
      <c r="C106" t="s">
        <v>34</v>
      </c>
      <c r="D106" s="7">
        <v>45068</v>
      </c>
      <c r="E106" t="s">
        <v>73</v>
      </c>
      <c r="F106" s="8">
        <v>168096</v>
      </c>
      <c r="G106" t="s">
        <v>70</v>
      </c>
    </row>
    <row r="107" spans="1:7" x14ac:dyDescent="0.25">
      <c r="A107" t="s">
        <v>32</v>
      </c>
      <c r="B107" t="s">
        <v>33</v>
      </c>
      <c r="C107" t="s">
        <v>34</v>
      </c>
      <c r="D107" s="7">
        <v>45073</v>
      </c>
      <c r="E107" t="s">
        <v>48</v>
      </c>
      <c r="F107" s="8">
        <v>320380</v>
      </c>
      <c r="G107" t="s">
        <v>70</v>
      </c>
    </row>
    <row r="108" spans="1:7" x14ac:dyDescent="0.25">
      <c r="A108" t="s">
        <v>32</v>
      </c>
      <c r="B108" t="s">
        <v>33</v>
      </c>
      <c r="C108" t="s">
        <v>34</v>
      </c>
      <c r="D108" s="7">
        <v>45076</v>
      </c>
      <c r="E108" t="s">
        <v>74</v>
      </c>
      <c r="F108" s="8">
        <v>616194</v>
      </c>
      <c r="G108" t="s">
        <v>70</v>
      </c>
    </row>
    <row r="109" spans="1:7" x14ac:dyDescent="0.25">
      <c r="A109" t="s">
        <v>32</v>
      </c>
      <c r="B109" t="s">
        <v>33</v>
      </c>
      <c r="C109" t="s">
        <v>34</v>
      </c>
      <c r="D109" s="7">
        <v>45077</v>
      </c>
      <c r="E109" t="s">
        <v>48</v>
      </c>
      <c r="F109" s="8">
        <v>197523.8</v>
      </c>
      <c r="G109" t="s">
        <v>70</v>
      </c>
    </row>
    <row r="110" spans="1:7" x14ac:dyDescent="0.25">
      <c r="A110" t="s">
        <v>32</v>
      </c>
      <c r="B110" t="s">
        <v>38</v>
      </c>
      <c r="C110" t="s">
        <v>39</v>
      </c>
      <c r="D110" s="7">
        <v>45077</v>
      </c>
      <c r="E110" t="s">
        <v>75</v>
      </c>
      <c r="F110" s="8">
        <v>380952</v>
      </c>
      <c r="G110" t="s">
        <v>70</v>
      </c>
    </row>
    <row r="111" spans="1:7" x14ac:dyDescent="0.25">
      <c r="A111" t="s">
        <v>32</v>
      </c>
      <c r="B111" t="s">
        <v>33</v>
      </c>
      <c r="C111" t="s">
        <v>34</v>
      </c>
      <c r="D111" s="7">
        <v>45085</v>
      </c>
      <c r="E111" t="s">
        <v>73</v>
      </c>
      <c r="F111" s="8">
        <v>152383.85</v>
      </c>
      <c r="G111" t="s">
        <v>70</v>
      </c>
    </row>
    <row r="112" spans="1:7" x14ac:dyDescent="0.25">
      <c r="A112" t="s">
        <v>32</v>
      </c>
      <c r="B112" t="s">
        <v>33</v>
      </c>
      <c r="C112" t="s">
        <v>34</v>
      </c>
      <c r="D112" s="7">
        <v>45094</v>
      </c>
      <c r="E112" t="s">
        <v>69</v>
      </c>
      <c r="F112" s="8">
        <v>656762</v>
      </c>
      <c r="G112" t="s">
        <v>70</v>
      </c>
    </row>
    <row r="113" spans="1:7" x14ac:dyDescent="0.25">
      <c r="A113" t="s">
        <v>32</v>
      </c>
      <c r="B113" t="s">
        <v>33</v>
      </c>
      <c r="C113" t="s">
        <v>34</v>
      </c>
      <c r="D113" s="7">
        <v>45107</v>
      </c>
      <c r="E113" t="s">
        <v>73</v>
      </c>
      <c r="F113" s="8">
        <v>225620</v>
      </c>
      <c r="G113" t="s">
        <v>70</v>
      </c>
    </row>
    <row r="114" spans="1:7" x14ac:dyDescent="0.25">
      <c r="A114" t="s">
        <v>32</v>
      </c>
      <c r="B114" t="s">
        <v>38</v>
      </c>
      <c r="C114" t="s">
        <v>39</v>
      </c>
      <c r="D114" s="7">
        <v>45107</v>
      </c>
      <c r="E114" t="s">
        <v>75</v>
      </c>
      <c r="F114" s="8">
        <v>476190</v>
      </c>
      <c r="G114" t="s">
        <v>70</v>
      </c>
    </row>
    <row r="115" spans="1:7" x14ac:dyDescent="0.25">
      <c r="A115" t="s">
        <v>32</v>
      </c>
      <c r="B115" t="s">
        <v>38</v>
      </c>
      <c r="C115" t="s">
        <v>39</v>
      </c>
      <c r="D115" s="7">
        <v>45114</v>
      </c>
      <c r="E115" t="s">
        <v>76</v>
      </c>
      <c r="F115" s="8">
        <v>1656000</v>
      </c>
      <c r="G115" t="s">
        <v>70</v>
      </c>
    </row>
    <row r="116" spans="1:7" x14ac:dyDescent="0.25">
      <c r="A116" t="s">
        <v>32</v>
      </c>
      <c r="B116" t="s">
        <v>33</v>
      </c>
      <c r="C116" t="s">
        <v>34</v>
      </c>
      <c r="D116" s="7">
        <v>45121</v>
      </c>
      <c r="E116" t="s">
        <v>48</v>
      </c>
      <c r="F116" s="8">
        <v>123994</v>
      </c>
      <c r="G116" t="s">
        <v>70</v>
      </c>
    </row>
    <row r="117" spans="1:7" x14ac:dyDescent="0.25">
      <c r="A117" t="s">
        <v>32</v>
      </c>
      <c r="B117" t="s">
        <v>33</v>
      </c>
      <c r="C117" t="s">
        <v>34</v>
      </c>
      <c r="D117" s="7">
        <v>45121</v>
      </c>
      <c r="E117" t="s">
        <v>77</v>
      </c>
      <c r="F117" s="8">
        <v>1076096</v>
      </c>
      <c r="G117" t="s">
        <v>70</v>
      </c>
    </row>
    <row r="118" spans="1:7" x14ac:dyDescent="0.25">
      <c r="A118" t="s">
        <v>32</v>
      </c>
      <c r="B118" t="s">
        <v>33</v>
      </c>
      <c r="C118" t="s">
        <v>34</v>
      </c>
      <c r="D118" s="7">
        <v>45126</v>
      </c>
      <c r="E118" t="s">
        <v>78</v>
      </c>
      <c r="F118" s="8">
        <v>190480</v>
      </c>
      <c r="G118" t="s">
        <v>70</v>
      </c>
    </row>
    <row r="119" spans="1:7" x14ac:dyDescent="0.25">
      <c r="A119" t="s">
        <v>32</v>
      </c>
      <c r="B119" t="s">
        <v>33</v>
      </c>
      <c r="C119" t="s">
        <v>34</v>
      </c>
      <c r="D119" s="7">
        <v>45128</v>
      </c>
      <c r="E119" t="s">
        <v>79</v>
      </c>
      <c r="F119" s="8">
        <v>602095.4</v>
      </c>
      <c r="G119" t="s">
        <v>70</v>
      </c>
    </row>
    <row r="120" spans="1:7" x14ac:dyDescent="0.25">
      <c r="A120" t="s">
        <v>32</v>
      </c>
      <c r="B120" t="s">
        <v>38</v>
      </c>
      <c r="C120" t="s">
        <v>39</v>
      </c>
      <c r="D120" s="7">
        <v>45133</v>
      </c>
      <c r="E120" t="s">
        <v>53</v>
      </c>
      <c r="F120" s="8">
        <v>752380.96</v>
      </c>
      <c r="G120" t="s">
        <v>70</v>
      </c>
    </row>
    <row r="121" spans="1:7" x14ac:dyDescent="0.25">
      <c r="A121" t="s">
        <v>32</v>
      </c>
      <c r="B121" t="s">
        <v>38</v>
      </c>
      <c r="C121" t="s">
        <v>34</v>
      </c>
      <c r="D121" s="7">
        <v>45134</v>
      </c>
      <c r="E121" t="s">
        <v>63</v>
      </c>
      <c r="F121" s="8">
        <v>380809.52</v>
      </c>
      <c r="G121" t="s">
        <v>70</v>
      </c>
    </row>
    <row r="122" spans="1:7" x14ac:dyDescent="0.25">
      <c r="A122" t="s">
        <v>32</v>
      </c>
      <c r="B122" t="s">
        <v>33</v>
      </c>
      <c r="C122" t="s">
        <v>39</v>
      </c>
      <c r="D122" s="7">
        <v>45138</v>
      </c>
      <c r="E122" t="s">
        <v>80</v>
      </c>
      <c r="F122" s="8">
        <v>380950</v>
      </c>
      <c r="G122" t="s">
        <v>70</v>
      </c>
    </row>
    <row r="123" spans="1:7" x14ac:dyDescent="0.25">
      <c r="A123" t="s">
        <v>32</v>
      </c>
      <c r="B123" t="s">
        <v>33</v>
      </c>
      <c r="C123" t="s">
        <v>39</v>
      </c>
      <c r="D123" s="7">
        <v>45138</v>
      </c>
      <c r="E123" t="s">
        <v>81</v>
      </c>
      <c r="F123" s="8">
        <v>152381</v>
      </c>
      <c r="G123" t="s">
        <v>70</v>
      </c>
    </row>
    <row r="124" spans="1:7" x14ac:dyDescent="0.25">
      <c r="A124" t="s">
        <v>32</v>
      </c>
      <c r="B124" t="s">
        <v>33</v>
      </c>
      <c r="C124" t="s">
        <v>34</v>
      </c>
      <c r="D124" s="7">
        <v>45138</v>
      </c>
      <c r="E124" t="s">
        <v>82</v>
      </c>
      <c r="F124" s="8">
        <v>120247.54</v>
      </c>
      <c r="G124" t="s">
        <v>70</v>
      </c>
    </row>
    <row r="125" spans="1:7" x14ac:dyDescent="0.25">
      <c r="A125" t="s">
        <v>32</v>
      </c>
      <c r="B125" t="s">
        <v>38</v>
      </c>
      <c r="C125" t="s">
        <v>39</v>
      </c>
      <c r="D125" s="7">
        <v>45138</v>
      </c>
      <c r="E125" t="s">
        <v>83</v>
      </c>
      <c r="F125" s="8">
        <v>544614.40000000002</v>
      </c>
      <c r="G125" t="s">
        <v>70</v>
      </c>
    </row>
    <row r="126" spans="1:7" x14ac:dyDescent="0.25">
      <c r="A126" t="s">
        <v>32</v>
      </c>
      <c r="B126" t="s">
        <v>38</v>
      </c>
      <c r="C126" t="s">
        <v>39</v>
      </c>
      <c r="D126" s="7">
        <v>45138</v>
      </c>
      <c r="E126" t="s">
        <v>84</v>
      </c>
      <c r="F126" s="8">
        <v>1824000</v>
      </c>
      <c r="G126" t="s">
        <v>70</v>
      </c>
    </row>
    <row r="127" spans="1:7" x14ac:dyDescent="0.25">
      <c r="A127" t="s">
        <v>32</v>
      </c>
      <c r="B127" t="s">
        <v>33</v>
      </c>
      <c r="C127" t="s">
        <v>34</v>
      </c>
      <c r="D127" s="7">
        <v>45140</v>
      </c>
      <c r="E127" t="s">
        <v>69</v>
      </c>
      <c r="F127" s="8">
        <v>620005</v>
      </c>
      <c r="G127" t="s">
        <v>70</v>
      </c>
    </row>
    <row r="128" spans="1:7" x14ac:dyDescent="0.25">
      <c r="A128" t="s">
        <v>32</v>
      </c>
      <c r="B128" t="s">
        <v>33</v>
      </c>
      <c r="C128" t="s">
        <v>34</v>
      </c>
      <c r="D128" s="7">
        <v>45141</v>
      </c>
      <c r="E128" t="s">
        <v>85</v>
      </c>
      <c r="F128" s="8">
        <v>818292</v>
      </c>
      <c r="G128" t="s">
        <v>70</v>
      </c>
    </row>
    <row r="129" spans="1:7" x14ac:dyDescent="0.25">
      <c r="A129" t="s">
        <v>32</v>
      </c>
      <c r="B129" t="s">
        <v>38</v>
      </c>
      <c r="C129" t="s">
        <v>34</v>
      </c>
      <c r="D129" s="7">
        <v>45141</v>
      </c>
      <c r="E129" t="s">
        <v>56</v>
      </c>
      <c r="F129" s="8">
        <v>690952.4</v>
      </c>
      <c r="G129" t="s">
        <v>70</v>
      </c>
    </row>
    <row r="130" spans="1:7" x14ac:dyDescent="0.25">
      <c r="A130" t="s">
        <v>32</v>
      </c>
      <c r="B130" t="s">
        <v>33</v>
      </c>
      <c r="C130" t="s">
        <v>34</v>
      </c>
      <c r="D130" s="7">
        <v>45142</v>
      </c>
      <c r="E130" t="s">
        <v>86</v>
      </c>
      <c r="F130" s="8">
        <v>335430.59999999998</v>
      </c>
      <c r="G130" t="s">
        <v>70</v>
      </c>
    </row>
    <row r="131" spans="1:7" x14ac:dyDescent="0.25">
      <c r="A131" t="s">
        <v>32</v>
      </c>
      <c r="B131" t="s">
        <v>33</v>
      </c>
      <c r="C131" t="s">
        <v>34</v>
      </c>
      <c r="D131" s="7">
        <v>45149</v>
      </c>
      <c r="E131" t="s">
        <v>87</v>
      </c>
      <c r="F131" s="8">
        <v>546672</v>
      </c>
      <c r="G131" t="s">
        <v>70</v>
      </c>
    </row>
    <row r="132" spans="1:7" x14ac:dyDescent="0.25">
      <c r="A132" t="s">
        <v>32</v>
      </c>
      <c r="B132" t="s">
        <v>33</v>
      </c>
      <c r="C132" t="s">
        <v>34</v>
      </c>
      <c r="D132" s="7">
        <v>45151</v>
      </c>
      <c r="E132" t="s">
        <v>88</v>
      </c>
      <c r="F132" s="8">
        <v>13461.89</v>
      </c>
      <c r="G132" t="s">
        <v>70</v>
      </c>
    </row>
    <row r="133" spans="1:7" x14ac:dyDescent="0.25">
      <c r="A133" t="s">
        <v>32</v>
      </c>
      <c r="B133" t="s">
        <v>33</v>
      </c>
      <c r="C133" t="s">
        <v>34</v>
      </c>
      <c r="D133" s="7">
        <v>45151</v>
      </c>
      <c r="E133" t="s">
        <v>89</v>
      </c>
      <c r="F133" s="8">
        <v>228571.6</v>
      </c>
      <c r="G133" t="s">
        <v>70</v>
      </c>
    </row>
    <row r="134" spans="1:7" x14ac:dyDescent="0.25">
      <c r="A134" t="s">
        <v>32</v>
      </c>
      <c r="B134" t="s">
        <v>33</v>
      </c>
      <c r="C134" t="s">
        <v>34</v>
      </c>
      <c r="D134" s="7">
        <v>45154</v>
      </c>
      <c r="E134" t="s">
        <v>90</v>
      </c>
      <c r="F134" s="8">
        <v>290759</v>
      </c>
      <c r="G134" t="s">
        <v>70</v>
      </c>
    </row>
    <row r="135" spans="1:7" x14ac:dyDescent="0.25">
      <c r="A135" t="s">
        <v>32</v>
      </c>
      <c r="B135" t="s">
        <v>33</v>
      </c>
      <c r="C135" t="s">
        <v>34</v>
      </c>
      <c r="D135" s="7">
        <v>45161</v>
      </c>
      <c r="E135" t="s">
        <v>69</v>
      </c>
      <c r="F135" s="8">
        <v>769566</v>
      </c>
      <c r="G135" t="s">
        <v>70</v>
      </c>
    </row>
    <row r="136" spans="1:7" x14ac:dyDescent="0.25">
      <c r="A136" t="s">
        <v>32</v>
      </c>
      <c r="B136" t="s">
        <v>33</v>
      </c>
      <c r="C136" t="s">
        <v>34</v>
      </c>
      <c r="D136" s="7">
        <v>45161</v>
      </c>
      <c r="E136" t="s">
        <v>73</v>
      </c>
      <c r="F136" s="8">
        <v>157428.6</v>
      </c>
      <c r="G136" t="s">
        <v>70</v>
      </c>
    </row>
    <row r="137" spans="1:7" x14ac:dyDescent="0.25">
      <c r="A137" t="s">
        <v>32</v>
      </c>
      <c r="B137" t="s">
        <v>38</v>
      </c>
      <c r="C137" t="s">
        <v>39</v>
      </c>
      <c r="D137" s="7">
        <v>45161</v>
      </c>
      <c r="E137" t="s">
        <v>55</v>
      </c>
      <c r="F137" s="8">
        <v>2207695</v>
      </c>
      <c r="G137" t="s">
        <v>70</v>
      </c>
    </row>
    <row r="138" spans="1:7" x14ac:dyDescent="0.25">
      <c r="A138" t="s">
        <v>32</v>
      </c>
      <c r="B138" t="s">
        <v>38</v>
      </c>
      <c r="C138" t="s">
        <v>39</v>
      </c>
      <c r="D138" s="7">
        <v>45161</v>
      </c>
      <c r="E138" t="s">
        <v>55</v>
      </c>
      <c r="F138" s="8">
        <v>211758.5</v>
      </c>
      <c r="G138" t="s">
        <v>70</v>
      </c>
    </row>
    <row r="139" spans="1:7" x14ac:dyDescent="0.25">
      <c r="A139" t="s">
        <v>32</v>
      </c>
      <c r="B139" t="s">
        <v>33</v>
      </c>
      <c r="C139" t="s">
        <v>34</v>
      </c>
      <c r="D139" s="7">
        <v>45164</v>
      </c>
      <c r="E139" t="s">
        <v>91</v>
      </c>
      <c r="F139" s="8">
        <v>72381</v>
      </c>
      <c r="G139" t="s">
        <v>70</v>
      </c>
    </row>
    <row r="140" spans="1:7" x14ac:dyDescent="0.25">
      <c r="A140" t="s">
        <v>32</v>
      </c>
      <c r="B140" t="s">
        <v>38</v>
      </c>
      <c r="C140" t="s">
        <v>34</v>
      </c>
      <c r="D140" s="7">
        <v>45166</v>
      </c>
      <c r="E140" t="s">
        <v>56</v>
      </c>
      <c r="F140" s="8">
        <v>742571.46</v>
      </c>
      <c r="G140" t="s">
        <v>70</v>
      </c>
    </row>
    <row r="141" spans="1:7" x14ac:dyDescent="0.25">
      <c r="A141" t="s">
        <v>32</v>
      </c>
      <c r="B141" t="s">
        <v>33</v>
      </c>
      <c r="C141" t="s">
        <v>34</v>
      </c>
      <c r="D141" s="7">
        <v>45168</v>
      </c>
      <c r="E141" t="s">
        <v>79</v>
      </c>
      <c r="F141" s="8">
        <v>475333</v>
      </c>
      <c r="G141" t="s">
        <v>70</v>
      </c>
    </row>
    <row r="142" spans="1:7" x14ac:dyDescent="0.25">
      <c r="A142" t="s">
        <v>32</v>
      </c>
      <c r="B142" t="s">
        <v>33</v>
      </c>
      <c r="C142" t="s">
        <v>34</v>
      </c>
      <c r="D142" s="7">
        <v>45177</v>
      </c>
      <c r="E142" t="s">
        <v>73</v>
      </c>
      <c r="F142" s="8">
        <v>222812</v>
      </c>
      <c r="G142" t="s">
        <v>70</v>
      </c>
    </row>
    <row r="143" spans="1:7" x14ac:dyDescent="0.25">
      <c r="A143" t="s">
        <v>32</v>
      </c>
      <c r="B143" t="s">
        <v>33</v>
      </c>
      <c r="C143" t="s">
        <v>34</v>
      </c>
      <c r="D143" s="7">
        <v>45177</v>
      </c>
      <c r="E143" t="s">
        <v>52</v>
      </c>
      <c r="F143" s="8">
        <v>70714</v>
      </c>
      <c r="G143" t="s">
        <v>70</v>
      </c>
    </row>
    <row r="144" spans="1:7" x14ac:dyDescent="0.25">
      <c r="A144" t="s">
        <v>32</v>
      </c>
      <c r="B144" t="s">
        <v>33</v>
      </c>
      <c r="C144" t="s">
        <v>34</v>
      </c>
      <c r="D144" s="7">
        <v>45178</v>
      </c>
      <c r="E144" t="s">
        <v>48</v>
      </c>
      <c r="F144" s="8">
        <v>369864</v>
      </c>
      <c r="G144" t="s">
        <v>70</v>
      </c>
    </row>
    <row r="145" spans="1:7" x14ac:dyDescent="0.25">
      <c r="A145" t="s">
        <v>32</v>
      </c>
      <c r="B145" t="s">
        <v>33</v>
      </c>
      <c r="C145" t="s">
        <v>34</v>
      </c>
      <c r="D145" s="7">
        <v>45184</v>
      </c>
      <c r="E145" t="s">
        <v>52</v>
      </c>
      <c r="F145" s="8">
        <v>108575.5</v>
      </c>
      <c r="G145" t="s">
        <v>70</v>
      </c>
    </row>
    <row r="146" spans="1:7" x14ac:dyDescent="0.25">
      <c r="A146" t="s">
        <v>32</v>
      </c>
      <c r="B146" t="s">
        <v>33</v>
      </c>
      <c r="C146" t="s">
        <v>34</v>
      </c>
      <c r="D146" s="7">
        <v>45190</v>
      </c>
      <c r="E146" t="s">
        <v>92</v>
      </c>
      <c r="F146" s="8">
        <v>249524</v>
      </c>
      <c r="G146" t="s">
        <v>70</v>
      </c>
    </row>
    <row r="147" spans="1:7" x14ac:dyDescent="0.25">
      <c r="A147" t="s">
        <v>32</v>
      </c>
      <c r="B147" t="s">
        <v>33</v>
      </c>
      <c r="C147" t="s">
        <v>34</v>
      </c>
      <c r="D147" s="7">
        <v>45194</v>
      </c>
      <c r="E147" t="s">
        <v>48</v>
      </c>
      <c r="F147" s="8">
        <v>391432</v>
      </c>
      <c r="G147" t="s">
        <v>70</v>
      </c>
    </row>
    <row r="148" spans="1:7" x14ac:dyDescent="0.25">
      <c r="A148" t="s">
        <v>32</v>
      </c>
      <c r="B148" t="s">
        <v>33</v>
      </c>
      <c r="C148" t="s">
        <v>34</v>
      </c>
      <c r="D148" s="7">
        <v>45196</v>
      </c>
      <c r="E148" t="s">
        <v>73</v>
      </c>
      <c r="F148" s="8">
        <v>319902</v>
      </c>
      <c r="G148" t="s">
        <v>70</v>
      </c>
    </row>
    <row r="149" spans="1:7" x14ac:dyDescent="0.25">
      <c r="A149" t="s">
        <v>32</v>
      </c>
      <c r="B149" t="s">
        <v>33</v>
      </c>
      <c r="C149" t="s">
        <v>34</v>
      </c>
      <c r="D149" s="7">
        <v>45196</v>
      </c>
      <c r="E149" t="s">
        <v>64</v>
      </c>
      <c r="F149" s="8">
        <v>315720</v>
      </c>
      <c r="G149" t="s">
        <v>70</v>
      </c>
    </row>
    <row r="150" spans="1:7" x14ac:dyDescent="0.25">
      <c r="A150" t="s">
        <v>32</v>
      </c>
      <c r="B150" t="s">
        <v>38</v>
      </c>
      <c r="C150" t="s">
        <v>34</v>
      </c>
      <c r="D150" s="7">
        <v>45199</v>
      </c>
      <c r="E150" t="s">
        <v>47</v>
      </c>
      <c r="F150" s="8">
        <v>361905</v>
      </c>
      <c r="G150" t="s">
        <v>70</v>
      </c>
    </row>
    <row r="151" spans="1:7" x14ac:dyDescent="0.25">
      <c r="A151" t="s">
        <v>32</v>
      </c>
      <c r="B151" t="s">
        <v>33</v>
      </c>
      <c r="C151" t="s">
        <v>34</v>
      </c>
      <c r="D151" s="7">
        <v>45212</v>
      </c>
      <c r="E151" t="s">
        <v>93</v>
      </c>
      <c r="F151" s="8">
        <v>562857</v>
      </c>
      <c r="G151" t="s">
        <v>70</v>
      </c>
    </row>
    <row r="152" spans="1:7" x14ac:dyDescent="0.25">
      <c r="A152" t="s">
        <v>32</v>
      </c>
      <c r="B152" t="s">
        <v>33</v>
      </c>
      <c r="C152" t="s">
        <v>34</v>
      </c>
      <c r="D152" s="7">
        <v>45215</v>
      </c>
      <c r="E152" t="s">
        <v>90</v>
      </c>
      <c r="F152" s="8">
        <v>97620</v>
      </c>
      <c r="G152" t="s">
        <v>70</v>
      </c>
    </row>
    <row r="153" spans="1:7" x14ac:dyDescent="0.25">
      <c r="A153" t="s">
        <v>32</v>
      </c>
      <c r="B153" t="s">
        <v>33</v>
      </c>
      <c r="C153" t="s">
        <v>34</v>
      </c>
      <c r="D153" s="7">
        <v>45216</v>
      </c>
      <c r="E153" t="s">
        <v>48</v>
      </c>
      <c r="F153" s="8">
        <v>351048</v>
      </c>
      <c r="G153" t="s">
        <v>70</v>
      </c>
    </row>
    <row r="154" spans="1:7" x14ac:dyDescent="0.25">
      <c r="A154" t="s">
        <v>32</v>
      </c>
      <c r="B154" t="s">
        <v>33</v>
      </c>
      <c r="C154" t="s">
        <v>34</v>
      </c>
      <c r="D154" s="7">
        <v>45216</v>
      </c>
      <c r="E154" t="s">
        <v>73</v>
      </c>
      <c r="F154" s="8">
        <v>252550</v>
      </c>
      <c r="G154" t="s">
        <v>70</v>
      </c>
    </row>
    <row r="155" spans="1:7" x14ac:dyDescent="0.25">
      <c r="A155" t="s">
        <v>32</v>
      </c>
      <c r="B155" t="s">
        <v>33</v>
      </c>
      <c r="C155" t="s">
        <v>34</v>
      </c>
      <c r="D155" s="7">
        <v>45225</v>
      </c>
      <c r="E155" t="s">
        <v>90</v>
      </c>
      <c r="F155" s="8">
        <v>260940</v>
      </c>
      <c r="G155" t="s">
        <v>70</v>
      </c>
    </row>
    <row r="156" spans="1:7" x14ac:dyDescent="0.25">
      <c r="A156" t="s">
        <v>32</v>
      </c>
      <c r="B156" t="s">
        <v>38</v>
      </c>
      <c r="C156" t="s">
        <v>39</v>
      </c>
      <c r="D156" s="7">
        <v>45233</v>
      </c>
      <c r="E156" t="s">
        <v>58</v>
      </c>
      <c r="F156" s="8">
        <v>20860.96</v>
      </c>
      <c r="G156" t="s">
        <v>70</v>
      </c>
    </row>
    <row r="157" spans="1:7" x14ac:dyDescent="0.25">
      <c r="A157" t="s">
        <v>32</v>
      </c>
      <c r="B157" t="s">
        <v>33</v>
      </c>
      <c r="C157" t="s">
        <v>34</v>
      </c>
      <c r="D157" s="7">
        <v>45234</v>
      </c>
      <c r="E157" t="s">
        <v>92</v>
      </c>
      <c r="F157" s="8">
        <v>516857.5</v>
      </c>
      <c r="G157" t="s">
        <v>70</v>
      </c>
    </row>
    <row r="158" spans="1:7" x14ac:dyDescent="0.25">
      <c r="A158" t="s">
        <v>32</v>
      </c>
      <c r="B158" t="s">
        <v>33</v>
      </c>
      <c r="C158" t="s">
        <v>34</v>
      </c>
      <c r="D158" s="7">
        <v>45241</v>
      </c>
      <c r="E158" t="s">
        <v>64</v>
      </c>
      <c r="F158" s="8">
        <v>814281</v>
      </c>
      <c r="G158" t="s">
        <v>70</v>
      </c>
    </row>
    <row r="159" spans="1:7" x14ac:dyDescent="0.25">
      <c r="A159" t="s">
        <v>32</v>
      </c>
      <c r="B159" t="s">
        <v>33</v>
      </c>
      <c r="C159" t="s">
        <v>34</v>
      </c>
      <c r="D159" s="7">
        <v>45248</v>
      </c>
      <c r="E159" t="s">
        <v>79</v>
      </c>
      <c r="F159" s="8">
        <v>414858</v>
      </c>
      <c r="G159" t="s">
        <v>70</v>
      </c>
    </row>
    <row r="160" spans="1:7" x14ac:dyDescent="0.25">
      <c r="A160" t="s">
        <v>32</v>
      </c>
      <c r="B160" t="s">
        <v>33</v>
      </c>
      <c r="C160" t="s">
        <v>34</v>
      </c>
      <c r="D160" s="7">
        <v>45250</v>
      </c>
      <c r="E160" t="s">
        <v>68</v>
      </c>
      <c r="F160" s="8">
        <v>30000</v>
      </c>
      <c r="G160" t="s">
        <v>70</v>
      </c>
    </row>
    <row r="161" spans="1:7" x14ac:dyDescent="0.25">
      <c r="A161" t="s">
        <v>32</v>
      </c>
      <c r="B161" t="s">
        <v>33</v>
      </c>
      <c r="C161" t="s">
        <v>34</v>
      </c>
      <c r="D161" s="7">
        <v>45250</v>
      </c>
      <c r="E161" t="s">
        <v>94</v>
      </c>
      <c r="F161" s="8">
        <v>43238</v>
      </c>
      <c r="G161" t="s">
        <v>70</v>
      </c>
    </row>
    <row r="162" spans="1:7" x14ac:dyDescent="0.25">
      <c r="A162" t="s">
        <v>32</v>
      </c>
      <c r="B162" t="s">
        <v>33</v>
      </c>
      <c r="C162" t="s">
        <v>34</v>
      </c>
      <c r="D162" s="7">
        <v>45252</v>
      </c>
      <c r="E162" t="s">
        <v>87</v>
      </c>
      <c r="F162" s="8">
        <v>654758</v>
      </c>
      <c r="G162" t="s">
        <v>70</v>
      </c>
    </row>
    <row r="163" spans="1:7" x14ac:dyDescent="0.25">
      <c r="A163" t="s">
        <v>32</v>
      </c>
      <c r="B163" t="s">
        <v>33</v>
      </c>
      <c r="C163" t="s">
        <v>34</v>
      </c>
      <c r="D163" s="7">
        <v>45252</v>
      </c>
      <c r="E163" t="s">
        <v>73</v>
      </c>
      <c r="F163" s="8">
        <v>161160</v>
      </c>
      <c r="G163" t="s">
        <v>70</v>
      </c>
    </row>
    <row r="164" spans="1:7" x14ac:dyDescent="0.25">
      <c r="A164" t="s">
        <v>32</v>
      </c>
      <c r="B164" t="s">
        <v>33</v>
      </c>
      <c r="C164" t="s">
        <v>34</v>
      </c>
      <c r="D164" s="7">
        <v>45256</v>
      </c>
      <c r="E164" t="s">
        <v>90</v>
      </c>
      <c r="F164" s="8">
        <v>69523.5</v>
      </c>
      <c r="G164" t="s">
        <v>70</v>
      </c>
    </row>
    <row r="165" spans="1:7" x14ac:dyDescent="0.25">
      <c r="A165" t="s">
        <v>32</v>
      </c>
      <c r="B165" t="s">
        <v>33</v>
      </c>
      <c r="C165" t="s">
        <v>34</v>
      </c>
      <c r="D165" s="7">
        <v>45256</v>
      </c>
      <c r="E165" t="s">
        <v>94</v>
      </c>
      <c r="F165" s="8">
        <v>286180</v>
      </c>
      <c r="G165" t="s">
        <v>70</v>
      </c>
    </row>
    <row r="166" spans="1:7" x14ac:dyDescent="0.25">
      <c r="A166" t="s">
        <v>32</v>
      </c>
      <c r="B166" t="s">
        <v>38</v>
      </c>
      <c r="C166" t="s">
        <v>39</v>
      </c>
      <c r="D166" s="7">
        <v>45263</v>
      </c>
      <c r="E166" t="s">
        <v>58</v>
      </c>
      <c r="F166" s="8">
        <v>804761.9</v>
      </c>
      <c r="G166" t="s">
        <v>70</v>
      </c>
    </row>
    <row r="167" spans="1:7" x14ac:dyDescent="0.25">
      <c r="A167" t="s">
        <v>32</v>
      </c>
      <c r="B167" t="s">
        <v>33</v>
      </c>
      <c r="C167" t="s">
        <v>39</v>
      </c>
      <c r="D167" s="7">
        <v>45266</v>
      </c>
      <c r="E167" t="s">
        <v>89</v>
      </c>
      <c r="F167" s="8">
        <v>252000</v>
      </c>
      <c r="G167" t="s">
        <v>70</v>
      </c>
    </row>
    <row r="168" spans="1:7" x14ac:dyDescent="0.25">
      <c r="A168" t="s">
        <v>32</v>
      </c>
      <c r="B168" t="s">
        <v>38</v>
      </c>
      <c r="C168" t="s">
        <v>39</v>
      </c>
      <c r="D168" s="7">
        <v>45269</v>
      </c>
      <c r="E168" t="s">
        <v>47</v>
      </c>
      <c r="F168" s="8">
        <v>718095</v>
      </c>
      <c r="G168" t="s">
        <v>70</v>
      </c>
    </row>
    <row r="169" spans="1:7" x14ac:dyDescent="0.25">
      <c r="A169" t="s">
        <v>32</v>
      </c>
      <c r="B169" t="s">
        <v>38</v>
      </c>
      <c r="C169" t="s">
        <v>34</v>
      </c>
      <c r="D169" s="7">
        <v>45269</v>
      </c>
      <c r="E169" t="s">
        <v>80</v>
      </c>
      <c r="F169" s="8">
        <v>809523.81</v>
      </c>
      <c r="G169" t="s">
        <v>70</v>
      </c>
    </row>
    <row r="170" spans="1:7" x14ac:dyDescent="0.25">
      <c r="A170" t="s">
        <v>32</v>
      </c>
      <c r="B170" t="s">
        <v>33</v>
      </c>
      <c r="C170" t="s">
        <v>34</v>
      </c>
      <c r="D170" s="7">
        <v>45281</v>
      </c>
      <c r="E170" t="s">
        <v>79</v>
      </c>
      <c r="F170" s="8">
        <v>335715</v>
      </c>
      <c r="G170" t="s">
        <v>70</v>
      </c>
    </row>
    <row r="171" spans="1:7" x14ac:dyDescent="0.25">
      <c r="A171" t="s">
        <v>32</v>
      </c>
      <c r="B171" t="s">
        <v>38</v>
      </c>
      <c r="C171" t="s">
        <v>39</v>
      </c>
      <c r="D171" s="7">
        <v>45289</v>
      </c>
      <c r="E171" t="s">
        <v>95</v>
      </c>
      <c r="F171" s="8">
        <v>476190</v>
      </c>
      <c r="G171" t="s">
        <v>70</v>
      </c>
    </row>
    <row r="172" spans="1:7" x14ac:dyDescent="0.25">
      <c r="A172" t="s">
        <v>32</v>
      </c>
      <c r="B172" t="s">
        <v>33</v>
      </c>
      <c r="C172" t="s">
        <v>34</v>
      </c>
      <c r="D172" s="7">
        <v>45296</v>
      </c>
      <c r="E172" t="s">
        <v>48</v>
      </c>
      <c r="F172" s="8">
        <v>426933</v>
      </c>
      <c r="G172" t="s">
        <v>70</v>
      </c>
    </row>
    <row r="173" spans="1:7" x14ac:dyDescent="0.25">
      <c r="A173" t="s">
        <v>32</v>
      </c>
      <c r="B173" t="s">
        <v>38</v>
      </c>
      <c r="C173" t="s">
        <v>39</v>
      </c>
      <c r="D173" s="7">
        <v>45296</v>
      </c>
      <c r="E173" t="s">
        <v>96</v>
      </c>
      <c r="F173" s="8">
        <v>318200</v>
      </c>
      <c r="G173" t="s">
        <v>70</v>
      </c>
    </row>
    <row r="174" spans="1:7" x14ac:dyDescent="0.25">
      <c r="A174" t="s">
        <v>32</v>
      </c>
      <c r="B174" t="s">
        <v>38</v>
      </c>
      <c r="C174" t="s">
        <v>39</v>
      </c>
      <c r="D174" s="7">
        <v>45296</v>
      </c>
      <c r="E174" t="s">
        <v>55</v>
      </c>
      <c r="F174" s="8">
        <v>587373.41</v>
      </c>
      <c r="G174" t="s">
        <v>70</v>
      </c>
    </row>
    <row r="175" spans="1:7" x14ac:dyDescent="0.25">
      <c r="A175" t="s">
        <v>32</v>
      </c>
      <c r="B175" t="s">
        <v>38</v>
      </c>
      <c r="C175" t="s">
        <v>39</v>
      </c>
      <c r="D175" s="7">
        <v>45296</v>
      </c>
      <c r="E175" t="s">
        <v>55</v>
      </c>
      <c r="F175" s="8">
        <v>2788345</v>
      </c>
      <c r="G175" t="s">
        <v>70</v>
      </c>
    </row>
    <row r="176" spans="1:7" x14ac:dyDescent="0.25">
      <c r="A176" t="s">
        <v>32</v>
      </c>
      <c r="B176" t="s">
        <v>33</v>
      </c>
      <c r="C176" t="s">
        <v>34</v>
      </c>
      <c r="D176" s="7">
        <v>45300</v>
      </c>
      <c r="E176" t="s">
        <v>73</v>
      </c>
      <c r="F176" s="8">
        <v>300386.67</v>
      </c>
      <c r="G176" t="s">
        <v>70</v>
      </c>
    </row>
    <row r="177" spans="1:7" x14ac:dyDescent="0.25">
      <c r="A177" t="s">
        <v>32</v>
      </c>
      <c r="B177" t="s">
        <v>33</v>
      </c>
      <c r="C177" t="s">
        <v>34</v>
      </c>
      <c r="D177" s="7">
        <v>45302</v>
      </c>
      <c r="E177" t="s">
        <v>97</v>
      </c>
      <c r="F177" s="8">
        <v>108000.2</v>
      </c>
      <c r="G177" t="s">
        <v>70</v>
      </c>
    </row>
    <row r="178" spans="1:7" x14ac:dyDescent="0.25">
      <c r="A178" t="s">
        <v>32</v>
      </c>
      <c r="B178" t="s">
        <v>38</v>
      </c>
      <c r="C178" t="s">
        <v>34</v>
      </c>
      <c r="D178" s="7">
        <v>45302</v>
      </c>
      <c r="E178" t="s">
        <v>63</v>
      </c>
      <c r="F178" s="8">
        <v>60952.38</v>
      </c>
      <c r="G178" t="s">
        <v>70</v>
      </c>
    </row>
    <row r="179" spans="1:7" x14ac:dyDescent="0.25">
      <c r="A179" t="s">
        <v>32</v>
      </c>
      <c r="B179" t="s">
        <v>38</v>
      </c>
      <c r="C179" t="s">
        <v>34</v>
      </c>
      <c r="D179" s="7">
        <v>45302</v>
      </c>
      <c r="E179" t="s">
        <v>56</v>
      </c>
      <c r="F179" s="8">
        <v>816000</v>
      </c>
      <c r="G179" t="s">
        <v>70</v>
      </c>
    </row>
    <row r="180" spans="1:7" x14ac:dyDescent="0.25">
      <c r="A180" t="s">
        <v>32</v>
      </c>
      <c r="B180" t="s">
        <v>38</v>
      </c>
      <c r="C180" t="s">
        <v>39</v>
      </c>
      <c r="D180" s="7">
        <v>45311</v>
      </c>
      <c r="E180" t="s">
        <v>96</v>
      </c>
      <c r="F180" s="8">
        <v>349988</v>
      </c>
      <c r="G180" t="s">
        <v>70</v>
      </c>
    </row>
    <row r="181" spans="1:7" x14ac:dyDescent="0.25">
      <c r="A181" t="s">
        <v>32</v>
      </c>
      <c r="B181" t="s">
        <v>33</v>
      </c>
      <c r="C181" t="s">
        <v>34</v>
      </c>
      <c r="D181" s="7">
        <v>45316</v>
      </c>
      <c r="E181" t="s">
        <v>79</v>
      </c>
      <c r="F181" s="8">
        <v>524714</v>
      </c>
      <c r="G181" t="s">
        <v>70</v>
      </c>
    </row>
    <row r="182" spans="1:7" x14ac:dyDescent="0.25">
      <c r="A182" t="s">
        <v>32</v>
      </c>
      <c r="B182" t="s">
        <v>33</v>
      </c>
      <c r="C182" t="s">
        <v>34</v>
      </c>
      <c r="D182" s="7">
        <v>45316</v>
      </c>
      <c r="E182" t="s">
        <v>90</v>
      </c>
      <c r="F182" s="8">
        <v>108108</v>
      </c>
      <c r="G182" t="s">
        <v>70</v>
      </c>
    </row>
    <row r="183" spans="1:7" x14ac:dyDescent="0.25">
      <c r="A183" t="s">
        <v>32</v>
      </c>
      <c r="B183" t="s">
        <v>38</v>
      </c>
      <c r="C183" t="s">
        <v>34</v>
      </c>
      <c r="D183" s="7">
        <v>45317</v>
      </c>
      <c r="E183" t="s">
        <v>56</v>
      </c>
      <c r="F183" s="8">
        <v>334095.24</v>
      </c>
      <c r="G183" t="s">
        <v>70</v>
      </c>
    </row>
    <row r="184" spans="1:7" x14ac:dyDescent="0.25">
      <c r="A184" t="s">
        <v>32</v>
      </c>
      <c r="B184" t="s">
        <v>33</v>
      </c>
      <c r="C184" t="s">
        <v>34</v>
      </c>
      <c r="D184" s="7">
        <v>45320</v>
      </c>
      <c r="E184" t="s">
        <v>48</v>
      </c>
      <c r="F184" s="8">
        <v>305958</v>
      </c>
      <c r="G184" t="s">
        <v>70</v>
      </c>
    </row>
    <row r="185" spans="1:7" x14ac:dyDescent="0.25">
      <c r="A185" t="s">
        <v>32</v>
      </c>
      <c r="B185" t="s">
        <v>38</v>
      </c>
      <c r="C185" t="s">
        <v>39</v>
      </c>
      <c r="D185" s="7">
        <v>45320</v>
      </c>
      <c r="E185" t="s">
        <v>98</v>
      </c>
      <c r="F185" s="8">
        <v>2427575.5</v>
      </c>
      <c r="G185" t="s">
        <v>70</v>
      </c>
    </row>
    <row r="186" spans="1:7" x14ac:dyDescent="0.25">
      <c r="A186" t="s">
        <v>32</v>
      </c>
      <c r="B186" t="s">
        <v>33</v>
      </c>
      <c r="C186" t="s">
        <v>34</v>
      </c>
      <c r="D186" s="7">
        <v>45321</v>
      </c>
      <c r="E186" t="s">
        <v>97</v>
      </c>
      <c r="F186" s="8">
        <v>119524</v>
      </c>
      <c r="G186" t="s">
        <v>70</v>
      </c>
    </row>
    <row r="187" spans="1:7" x14ac:dyDescent="0.25">
      <c r="A187" t="s">
        <v>32</v>
      </c>
      <c r="B187" t="s">
        <v>33</v>
      </c>
      <c r="C187" t="s">
        <v>34</v>
      </c>
      <c r="D187" s="7">
        <v>45321</v>
      </c>
      <c r="E187" t="s">
        <v>99</v>
      </c>
      <c r="F187" s="8">
        <v>1426100</v>
      </c>
      <c r="G187" t="s">
        <v>70</v>
      </c>
    </row>
    <row r="188" spans="1:7" x14ac:dyDescent="0.25">
      <c r="A188" t="s">
        <v>32</v>
      </c>
      <c r="B188" t="s">
        <v>38</v>
      </c>
      <c r="C188" t="s">
        <v>39</v>
      </c>
      <c r="D188" s="7">
        <v>45321</v>
      </c>
      <c r="E188" t="s">
        <v>98</v>
      </c>
      <c r="F188" s="8">
        <v>2661952.7999999998</v>
      </c>
      <c r="G188" t="s">
        <v>70</v>
      </c>
    </row>
    <row r="189" spans="1:7" x14ac:dyDescent="0.25">
      <c r="A189" t="s">
        <v>32</v>
      </c>
      <c r="B189" t="s">
        <v>38</v>
      </c>
      <c r="C189" t="s">
        <v>39</v>
      </c>
      <c r="D189" s="7">
        <v>45321</v>
      </c>
      <c r="E189" t="s">
        <v>96</v>
      </c>
      <c r="F189" s="8">
        <v>224000</v>
      </c>
      <c r="G189" t="s">
        <v>70</v>
      </c>
    </row>
    <row r="190" spans="1:7" x14ac:dyDescent="0.25">
      <c r="A190" t="s">
        <v>32</v>
      </c>
      <c r="B190" t="s">
        <v>33</v>
      </c>
      <c r="C190" t="s">
        <v>39</v>
      </c>
      <c r="D190" s="7">
        <v>45322</v>
      </c>
      <c r="E190" t="s">
        <v>47</v>
      </c>
      <c r="F190" s="8">
        <v>2275520</v>
      </c>
      <c r="G190" t="s">
        <v>70</v>
      </c>
    </row>
    <row r="191" spans="1:7" x14ac:dyDescent="0.25">
      <c r="A191" t="s">
        <v>32</v>
      </c>
      <c r="B191" t="s">
        <v>33</v>
      </c>
      <c r="C191" t="s">
        <v>34</v>
      </c>
      <c r="D191" s="7">
        <v>45323</v>
      </c>
      <c r="E191" t="s">
        <v>73</v>
      </c>
      <c r="F191" s="8">
        <v>77142</v>
      </c>
      <c r="G191" t="s">
        <v>70</v>
      </c>
    </row>
    <row r="192" spans="1:7" x14ac:dyDescent="0.25">
      <c r="A192" t="s">
        <v>32</v>
      </c>
      <c r="B192" t="s">
        <v>33</v>
      </c>
      <c r="C192" t="s">
        <v>34</v>
      </c>
      <c r="D192" s="7">
        <v>45327</v>
      </c>
      <c r="E192" t="s">
        <v>92</v>
      </c>
      <c r="F192" s="8">
        <v>108286.3</v>
      </c>
      <c r="G192" t="s">
        <v>70</v>
      </c>
    </row>
    <row r="193" spans="1:7" x14ac:dyDescent="0.25">
      <c r="A193" t="s">
        <v>32</v>
      </c>
      <c r="B193" t="s">
        <v>33</v>
      </c>
      <c r="C193" t="s">
        <v>39</v>
      </c>
      <c r="D193" s="7">
        <v>45328</v>
      </c>
      <c r="E193" t="s">
        <v>89</v>
      </c>
      <c r="F193" s="8">
        <v>936000</v>
      </c>
      <c r="G193" t="s">
        <v>70</v>
      </c>
    </row>
    <row r="194" spans="1:7" x14ac:dyDescent="0.25">
      <c r="A194" t="s">
        <v>32</v>
      </c>
      <c r="B194" t="s">
        <v>38</v>
      </c>
      <c r="C194" t="s">
        <v>34</v>
      </c>
      <c r="D194" s="7">
        <v>45331</v>
      </c>
      <c r="E194" t="s">
        <v>63</v>
      </c>
      <c r="F194" s="8">
        <v>630476.18999999994</v>
      </c>
      <c r="G194" t="s">
        <v>70</v>
      </c>
    </row>
    <row r="195" spans="1:7" x14ac:dyDescent="0.25">
      <c r="A195" t="s">
        <v>32</v>
      </c>
      <c r="B195" t="s">
        <v>33</v>
      </c>
      <c r="C195" t="s">
        <v>34</v>
      </c>
      <c r="D195" s="7">
        <v>45334</v>
      </c>
      <c r="E195" t="s">
        <v>73</v>
      </c>
      <c r="F195" s="8">
        <v>295120</v>
      </c>
      <c r="G195" t="s">
        <v>70</v>
      </c>
    </row>
    <row r="196" spans="1:7" x14ac:dyDescent="0.25">
      <c r="A196" t="s">
        <v>32</v>
      </c>
      <c r="B196" t="s">
        <v>33</v>
      </c>
      <c r="C196" t="s">
        <v>34</v>
      </c>
      <c r="D196" s="7">
        <v>45334</v>
      </c>
      <c r="E196" t="s">
        <v>97</v>
      </c>
      <c r="F196" s="8">
        <v>362477</v>
      </c>
      <c r="G196" t="s">
        <v>70</v>
      </c>
    </row>
    <row r="197" spans="1:7" x14ac:dyDescent="0.25">
      <c r="A197" t="s">
        <v>32</v>
      </c>
      <c r="B197" t="s">
        <v>33</v>
      </c>
      <c r="C197" t="s">
        <v>34</v>
      </c>
      <c r="D197" s="7">
        <v>45335</v>
      </c>
      <c r="E197" t="s">
        <v>79</v>
      </c>
      <c r="F197" s="8">
        <v>271428.5</v>
      </c>
      <c r="G197" t="s">
        <v>70</v>
      </c>
    </row>
    <row r="198" spans="1:7" x14ac:dyDescent="0.25">
      <c r="A198" t="s">
        <v>32</v>
      </c>
      <c r="B198" t="s">
        <v>33</v>
      </c>
      <c r="C198" t="s">
        <v>34</v>
      </c>
      <c r="D198" s="7">
        <v>45337</v>
      </c>
      <c r="E198" t="s">
        <v>79</v>
      </c>
      <c r="F198" s="8">
        <v>334286</v>
      </c>
      <c r="G198" t="s">
        <v>70</v>
      </c>
    </row>
    <row r="199" spans="1:7" x14ac:dyDescent="0.25">
      <c r="A199" t="s">
        <v>32</v>
      </c>
      <c r="B199" t="s">
        <v>38</v>
      </c>
      <c r="C199" t="s">
        <v>34</v>
      </c>
      <c r="D199" s="7">
        <v>45338</v>
      </c>
      <c r="E199" t="s">
        <v>83</v>
      </c>
      <c r="F199" s="8">
        <v>1389999.78</v>
      </c>
      <c r="G199" t="s">
        <v>70</v>
      </c>
    </row>
    <row r="200" spans="1:7" x14ac:dyDescent="0.25">
      <c r="A200" t="s">
        <v>32</v>
      </c>
      <c r="B200" t="s">
        <v>33</v>
      </c>
      <c r="C200" t="s">
        <v>34</v>
      </c>
      <c r="D200" s="7">
        <v>45343</v>
      </c>
      <c r="E200" t="s">
        <v>97</v>
      </c>
      <c r="F200" s="8">
        <v>190480</v>
      </c>
      <c r="G200" t="s">
        <v>70</v>
      </c>
    </row>
    <row r="201" spans="1:7" x14ac:dyDescent="0.25">
      <c r="A201" t="s">
        <v>32</v>
      </c>
      <c r="B201" t="s">
        <v>33</v>
      </c>
      <c r="C201" t="s">
        <v>34</v>
      </c>
      <c r="D201" s="7">
        <v>45344</v>
      </c>
      <c r="E201" t="s">
        <v>79</v>
      </c>
      <c r="F201" s="8">
        <v>831000</v>
      </c>
      <c r="G201" t="s">
        <v>70</v>
      </c>
    </row>
    <row r="202" spans="1:7" x14ac:dyDescent="0.25">
      <c r="A202" t="s">
        <v>32</v>
      </c>
      <c r="B202" t="s">
        <v>33</v>
      </c>
      <c r="C202" t="s">
        <v>39</v>
      </c>
      <c r="D202" s="7">
        <v>45351</v>
      </c>
      <c r="E202" t="s">
        <v>83</v>
      </c>
      <c r="F202" s="8">
        <v>1523500</v>
      </c>
      <c r="G202" t="s">
        <v>70</v>
      </c>
    </row>
    <row r="203" spans="1:7" x14ac:dyDescent="0.25">
      <c r="A203" t="s">
        <v>32</v>
      </c>
      <c r="B203" t="s">
        <v>33</v>
      </c>
      <c r="C203" t="s">
        <v>39</v>
      </c>
      <c r="D203" s="7">
        <v>45351</v>
      </c>
      <c r="E203" t="s">
        <v>81</v>
      </c>
      <c r="F203" s="8">
        <v>205500</v>
      </c>
      <c r="G203" t="s">
        <v>70</v>
      </c>
    </row>
    <row r="204" spans="1:7" x14ac:dyDescent="0.25">
      <c r="A204" t="s">
        <v>32</v>
      </c>
      <c r="B204" t="s">
        <v>33</v>
      </c>
      <c r="C204" t="s">
        <v>39</v>
      </c>
      <c r="D204" s="7">
        <v>45351</v>
      </c>
      <c r="E204" t="s">
        <v>47</v>
      </c>
      <c r="F204" s="8">
        <v>1580950</v>
      </c>
      <c r="G204" t="s">
        <v>70</v>
      </c>
    </row>
    <row r="205" spans="1:7" x14ac:dyDescent="0.25">
      <c r="A205" t="s">
        <v>32</v>
      </c>
      <c r="B205" t="s">
        <v>33</v>
      </c>
      <c r="C205" t="s">
        <v>39</v>
      </c>
      <c r="D205" s="7">
        <v>45351</v>
      </c>
      <c r="E205" t="s">
        <v>50</v>
      </c>
      <c r="F205" s="8">
        <v>1092000</v>
      </c>
      <c r="G205" t="s">
        <v>70</v>
      </c>
    </row>
    <row r="206" spans="1:7" x14ac:dyDescent="0.25">
      <c r="A206" t="s">
        <v>32</v>
      </c>
      <c r="B206" t="s">
        <v>38</v>
      </c>
      <c r="C206" t="s">
        <v>34</v>
      </c>
      <c r="D206" s="7">
        <v>45351</v>
      </c>
      <c r="E206" t="s">
        <v>100</v>
      </c>
      <c r="F206" s="8">
        <v>489300</v>
      </c>
      <c r="G206" t="s">
        <v>70</v>
      </c>
    </row>
    <row r="207" spans="1:7" x14ac:dyDescent="0.25">
      <c r="A207" t="s">
        <v>32</v>
      </c>
      <c r="B207" t="s">
        <v>38</v>
      </c>
      <c r="C207" t="s">
        <v>34</v>
      </c>
      <c r="D207" s="7">
        <v>45356</v>
      </c>
      <c r="E207" t="s">
        <v>83</v>
      </c>
      <c r="F207" s="8">
        <v>229744</v>
      </c>
      <c r="G207" t="s">
        <v>70</v>
      </c>
    </row>
    <row r="208" spans="1:7" x14ac:dyDescent="0.25">
      <c r="A208" t="s">
        <v>32</v>
      </c>
      <c r="B208" t="s">
        <v>33</v>
      </c>
      <c r="C208" t="s">
        <v>34</v>
      </c>
      <c r="D208" s="7">
        <v>45360</v>
      </c>
      <c r="E208" t="s">
        <v>52</v>
      </c>
      <c r="F208" s="8">
        <v>20952.45</v>
      </c>
      <c r="G208" t="s">
        <v>70</v>
      </c>
    </row>
    <row r="209" spans="1:7" x14ac:dyDescent="0.25">
      <c r="A209" t="s">
        <v>32</v>
      </c>
      <c r="B209" t="s">
        <v>38</v>
      </c>
      <c r="C209" t="s">
        <v>39</v>
      </c>
      <c r="D209" s="7">
        <v>45377</v>
      </c>
      <c r="E209" t="s">
        <v>83</v>
      </c>
      <c r="F209" s="8">
        <v>678096</v>
      </c>
      <c r="G209" t="s">
        <v>70</v>
      </c>
    </row>
    <row r="210" spans="1:7" x14ac:dyDescent="0.25">
      <c r="A210" t="s">
        <v>32</v>
      </c>
      <c r="B210" t="s">
        <v>33</v>
      </c>
      <c r="C210" t="s">
        <v>34</v>
      </c>
      <c r="D210" s="7">
        <v>45379</v>
      </c>
      <c r="E210" t="s">
        <v>101</v>
      </c>
      <c r="F210" s="8">
        <v>22857.14</v>
      </c>
      <c r="G210" t="s">
        <v>70</v>
      </c>
    </row>
    <row r="211" spans="1:7" x14ac:dyDescent="0.25">
      <c r="A211" t="s">
        <v>32</v>
      </c>
      <c r="B211" t="s">
        <v>38</v>
      </c>
      <c r="C211" t="s">
        <v>39</v>
      </c>
      <c r="D211" s="7">
        <v>45381</v>
      </c>
      <c r="E211" t="s">
        <v>102</v>
      </c>
      <c r="F211" s="8">
        <v>323809.52</v>
      </c>
      <c r="G211" t="s">
        <v>70</v>
      </c>
    </row>
    <row r="212" spans="1:7" x14ac:dyDescent="0.25">
      <c r="A212" t="s">
        <v>32</v>
      </c>
      <c r="B212" t="s">
        <v>33</v>
      </c>
      <c r="C212" t="s">
        <v>34</v>
      </c>
      <c r="D212" s="7">
        <v>45386</v>
      </c>
      <c r="E212" t="s">
        <v>73</v>
      </c>
      <c r="F212" s="8">
        <v>138765</v>
      </c>
      <c r="G212" t="s">
        <v>103</v>
      </c>
    </row>
    <row r="213" spans="1:7" x14ac:dyDescent="0.25">
      <c r="A213" t="s">
        <v>32</v>
      </c>
      <c r="B213" t="s">
        <v>33</v>
      </c>
      <c r="C213" t="s">
        <v>34</v>
      </c>
      <c r="D213" s="7">
        <v>45386</v>
      </c>
      <c r="E213" t="s">
        <v>79</v>
      </c>
      <c r="F213" s="8">
        <v>239719</v>
      </c>
      <c r="G213" t="s">
        <v>103</v>
      </c>
    </row>
    <row r="214" spans="1:7" x14ac:dyDescent="0.25">
      <c r="A214" t="s">
        <v>32</v>
      </c>
      <c r="B214" t="s">
        <v>33</v>
      </c>
      <c r="C214" t="s">
        <v>34</v>
      </c>
      <c r="D214" s="7">
        <v>45397</v>
      </c>
      <c r="E214" t="s">
        <v>73</v>
      </c>
      <c r="F214" s="8">
        <v>310762</v>
      </c>
      <c r="G214" t="s">
        <v>103</v>
      </c>
    </row>
    <row r="215" spans="1:7" x14ac:dyDescent="0.25">
      <c r="A215" t="s">
        <v>32</v>
      </c>
      <c r="B215" t="s">
        <v>38</v>
      </c>
      <c r="C215" t="s">
        <v>39</v>
      </c>
      <c r="D215" s="7">
        <v>45406</v>
      </c>
      <c r="E215" t="s">
        <v>104</v>
      </c>
      <c r="F215" s="8">
        <v>500000</v>
      </c>
      <c r="G215" t="s">
        <v>103</v>
      </c>
    </row>
    <row r="216" spans="1:7" x14ac:dyDescent="0.25">
      <c r="A216" t="s">
        <v>32</v>
      </c>
      <c r="B216" t="s">
        <v>38</v>
      </c>
      <c r="C216" t="s">
        <v>39</v>
      </c>
      <c r="D216" s="7">
        <v>45406</v>
      </c>
      <c r="E216" t="s">
        <v>104</v>
      </c>
      <c r="F216" s="8">
        <v>411500</v>
      </c>
      <c r="G216" t="s">
        <v>103</v>
      </c>
    </row>
    <row r="217" spans="1:7" x14ac:dyDescent="0.25">
      <c r="A217" t="s">
        <v>32</v>
      </c>
      <c r="B217" t="s">
        <v>38</v>
      </c>
      <c r="C217" t="s">
        <v>39</v>
      </c>
      <c r="D217" s="7">
        <v>45407</v>
      </c>
      <c r="E217" t="s">
        <v>104</v>
      </c>
      <c r="F217" s="8">
        <v>2500000</v>
      </c>
      <c r="G217" t="s">
        <v>103</v>
      </c>
    </row>
    <row r="218" spans="1:7" x14ac:dyDescent="0.25">
      <c r="A218" t="s">
        <v>32</v>
      </c>
      <c r="B218" t="s">
        <v>38</v>
      </c>
      <c r="C218" t="s">
        <v>39</v>
      </c>
      <c r="D218" s="7">
        <v>45407</v>
      </c>
      <c r="E218" t="s">
        <v>104</v>
      </c>
      <c r="F218" s="8">
        <v>97300</v>
      </c>
      <c r="G218" t="s">
        <v>103</v>
      </c>
    </row>
    <row r="219" spans="1:7" x14ac:dyDescent="0.25">
      <c r="A219" t="s">
        <v>32</v>
      </c>
      <c r="B219" t="s">
        <v>33</v>
      </c>
      <c r="C219" t="s">
        <v>34</v>
      </c>
      <c r="D219" s="7">
        <v>45411</v>
      </c>
      <c r="E219" t="s">
        <v>105</v>
      </c>
      <c r="F219" s="8">
        <v>330266.7</v>
      </c>
      <c r="G219" t="s">
        <v>103</v>
      </c>
    </row>
    <row r="220" spans="1:7" x14ac:dyDescent="0.25">
      <c r="A220" t="s">
        <v>32</v>
      </c>
      <c r="B220" t="s">
        <v>33</v>
      </c>
      <c r="C220" t="s">
        <v>34</v>
      </c>
      <c r="D220" s="7">
        <v>45416</v>
      </c>
      <c r="E220" t="s">
        <v>73</v>
      </c>
      <c r="F220" s="8">
        <v>100477.14</v>
      </c>
      <c r="G220" t="s">
        <v>103</v>
      </c>
    </row>
    <row r="221" spans="1:7" x14ac:dyDescent="0.25">
      <c r="A221" t="s">
        <v>32</v>
      </c>
      <c r="B221" t="s">
        <v>33</v>
      </c>
      <c r="C221" t="s">
        <v>34</v>
      </c>
      <c r="D221" s="7">
        <v>45420</v>
      </c>
      <c r="E221" t="s">
        <v>64</v>
      </c>
      <c r="F221" s="8">
        <v>626190.5</v>
      </c>
      <c r="G221" t="s">
        <v>103</v>
      </c>
    </row>
    <row r="222" spans="1:7" x14ac:dyDescent="0.25">
      <c r="A222" t="s">
        <v>32</v>
      </c>
      <c r="B222" t="s">
        <v>33</v>
      </c>
      <c r="C222" t="s">
        <v>34</v>
      </c>
      <c r="D222" s="7">
        <v>45427</v>
      </c>
      <c r="E222" t="s">
        <v>48</v>
      </c>
      <c r="F222" s="8">
        <v>89136</v>
      </c>
      <c r="G222" t="s">
        <v>103</v>
      </c>
    </row>
    <row r="223" spans="1:7" x14ac:dyDescent="0.25">
      <c r="A223" t="s">
        <v>32</v>
      </c>
      <c r="B223" t="s">
        <v>33</v>
      </c>
      <c r="C223" t="s">
        <v>34</v>
      </c>
      <c r="D223" s="7">
        <v>45435</v>
      </c>
      <c r="E223" t="s">
        <v>48</v>
      </c>
      <c r="F223" s="8">
        <v>155995</v>
      </c>
      <c r="G223" t="s">
        <v>103</v>
      </c>
    </row>
    <row r="224" spans="1:7" x14ac:dyDescent="0.25">
      <c r="A224" t="s">
        <v>32</v>
      </c>
      <c r="B224" t="s">
        <v>38</v>
      </c>
      <c r="C224" t="s">
        <v>39</v>
      </c>
      <c r="D224" s="7">
        <v>45443</v>
      </c>
      <c r="E224" t="s">
        <v>83</v>
      </c>
      <c r="F224" s="8">
        <v>2644762.64</v>
      </c>
      <c r="G224" t="s">
        <v>103</v>
      </c>
    </row>
    <row r="225" spans="1:7" x14ac:dyDescent="0.25">
      <c r="A225" t="s">
        <v>32</v>
      </c>
      <c r="B225" t="s">
        <v>33</v>
      </c>
      <c r="C225" t="s">
        <v>34</v>
      </c>
      <c r="D225" s="7">
        <v>45456</v>
      </c>
      <c r="E225" t="s">
        <v>69</v>
      </c>
      <c r="F225" s="8">
        <v>920183</v>
      </c>
      <c r="G225" t="s">
        <v>103</v>
      </c>
    </row>
    <row r="226" spans="1:7" x14ac:dyDescent="0.25">
      <c r="A226" t="s">
        <v>32</v>
      </c>
      <c r="B226" t="s">
        <v>33</v>
      </c>
      <c r="C226" t="s">
        <v>39</v>
      </c>
      <c r="D226" s="7">
        <v>45460</v>
      </c>
      <c r="E226" t="s">
        <v>83</v>
      </c>
      <c r="F226" s="8">
        <v>2142857</v>
      </c>
      <c r="G226" t="s">
        <v>103</v>
      </c>
    </row>
    <row r="227" spans="1:7" x14ac:dyDescent="0.25">
      <c r="A227" t="s">
        <v>32</v>
      </c>
      <c r="B227" t="s">
        <v>33</v>
      </c>
      <c r="C227" t="s">
        <v>39</v>
      </c>
      <c r="D227" s="7">
        <v>45460</v>
      </c>
      <c r="E227" t="s">
        <v>50</v>
      </c>
      <c r="F227" s="8">
        <v>423809.65</v>
      </c>
      <c r="G227" t="s">
        <v>103</v>
      </c>
    </row>
    <row r="228" spans="1:7" x14ac:dyDescent="0.25">
      <c r="A228" t="s">
        <v>32</v>
      </c>
      <c r="B228" t="s">
        <v>33</v>
      </c>
      <c r="C228" t="s">
        <v>39</v>
      </c>
      <c r="D228" s="7">
        <v>45460</v>
      </c>
      <c r="E228" t="s">
        <v>81</v>
      </c>
      <c r="F228" s="8">
        <v>238095.5</v>
      </c>
      <c r="G228" t="s">
        <v>103</v>
      </c>
    </row>
    <row r="229" spans="1:7" x14ac:dyDescent="0.25">
      <c r="A229" t="s">
        <v>32</v>
      </c>
      <c r="B229" t="s">
        <v>33</v>
      </c>
      <c r="C229" t="s">
        <v>34</v>
      </c>
      <c r="D229" s="7">
        <v>45460</v>
      </c>
      <c r="E229" t="s">
        <v>73</v>
      </c>
      <c r="F229" s="8">
        <v>140473</v>
      </c>
      <c r="G229" t="s">
        <v>103</v>
      </c>
    </row>
    <row r="230" spans="1:7" x14ac:dyDescent="0.25">
      <c r="A230" t="s">
        <v>32</v>
      </c>
      <c r="B230" t="s">
        <v>38</v>
      </c>
      <c r="C230" t="s">
        <v>39</v>
      </c>
      <c r="D230" s="7">
        <v>45472</v>
      </c>
      <c r="E230" t="s">
        <v>47</v>
      </c>
      <c r="F230" s="8">
        <v>500000</v>
      </c>
      <c r="G230" t="s">
        <v>103</v>
      </c>
    </row>
    <row r="231" spans="1:7" x14ac:dyDescent="0.25">
      <c r="A231" t="s">
        <v>32</v>
      </c>
      <c r="B231" t="s">
        <v>33</v>
      </c>
      <c r="C231" t="s">
        <v>34</v>
      </c>
      <c r="D231" s="7">
        <v>45474</v>
      </c>
      <c r="E231" t="s">
        <v>73</v>
      </c>
      <c r="F231" s="8">
        <v>142381</v>
      </c>
      <c r="G231" t="s">
        <v>103</v>
      </c>
    </row>
    <row r="232" spans="1:7" x14ac:dyDescent="0.25">
      <c r="A232" t="s">
        <v>32</v>
      </c>
      <c r="B232" t="s">
        <v>33</v>
      </c>
      <c r="C232" t="s">
        <v>34</v>
      </c>
      <c r="D232" s="7">
        <v>45485</v>
      </c>
      <c r="E232" t="s">
        <v>106</v>
      </c>
      <c r="F232" s="8">
        <v>116143.1</v>
      </c>
      <c r="G232" t="s">
        <v>103</v>
      </c>
    </row>
    <row r="233" spans="1:7" x14ac:dyDescent="0.25">
      <c r="A233" t="s">
        <v>32</v>
      </c>
      <c r="B233" t="s">
        <v>38</v>
      </c>
      <c r="C233" t="s">
        <v>39</v>
      </c>
      <c r="D233" s="7">
        <v>45492</v>
      </c>
      <c r="E233" t="s">
        <v>56</v>
      </c>
      <c r="F233" s="8">
        <v>285714.28999999998</v>
      </c>
      <c r="G233" t="s">
        <v>103</v>
      </c>
    </row>
    <row r="234" spans="1:7" x14ac:dyDescent="0.25">
      <c r="A234" t="s">
        <v>32</v>
      </c>
      <c r="B234" t="s">
        <v>38</v>
      </c>
      <c r="C234" t="s">
        <v>34</v>
      </c>
      <c r="D234" s="7">
        <v>45495</v>
      </c>
      <c r="E234" t="s">
        <v>100</v>
      </c>
      <c r="F234" s="8">
        <v>102285.72</v>
      </c>
      <c r="G234" t="s">
        <v>103</v>
      </c>
    </row>
    <row r="235" spans="1:7" x14ac:dyDescent="0.25">
      <c r="A235" t="s">
        <v>32</v>
      </c>
      <c r="B235" t="s">
        <v>33</v>
      </c>
      <c r="C235" t="s">
        <v>34</v>
      </c>
      <c r="D235" s="7">
        <v>45496</v>
      </c>
      <c r="E235" t="s">
        <v>73</v>
      </c>
      <c r="F235" s="8">
        <v>137140</v>
      </c>
      <c r="G235" t="s">
        <v>103</v>
      </c>
    </row>
    <row r="236" spans="1:7" x14ac:dyDescent="0.25">
      <c r="A236" t="s">
        <v>32</v>
      </c>
      <c r="B236" t="s">
        <v>38</v>
      </c>
      <c r="C236" t="s">
        <v>39</v>
      </c>
      <c r="D236" s="7">
        <v>45497</v>
      </c>
      <c r="E236" t="s">
        <v>47</v>
      </c>
      <c r="F236" s="8">
        <v>2455518</v>
      </c>
      <c r="G236" t="s">
        <v>103</v>
      </c>
    </row>
    <row r="237" spans="1:7" x14ac:dyDescent="0.25">
      <c r="A237" t="s">
        <v>32</v>
      </c>
      <c r="B237" t="s">
        <v>38</v>
      </c>
      <c r="C237" t="s">
        <v>39</v>
      </c>
      <c r="D237" s="7">
        <v>45497</v>
      </c>
      <c r="E237" t="s">
        <v>75</v>
      </c>
      <c r="F237" s="8">
        <v>1661905</v>
      </c>
      <c r="G237" t="s">
        <v>103</v>
      </c>
    </row>
    <row r="238" spans="1:7" x14ac:dyDescent="0.25">
      <c r="A238" t="s">
        <v>32</v>
      </c>
      <c r="B238" t="s">
        <v>33</v>
      </c>
      <c r="C238" t="s">
        <v>34</v>
      </c>
      <c r="D238" s="7">
        <v>45505</v>
      </c>
      <c r="E238" t="s">
        <v>73</v>
      </c>
      <c r="F238" s="8">
        <v>178095.23</v>
      </c>
      <c r="G238" t="s">
        <v>103</v>
      </c>
    </row>
    <row r="239" spans="1:7" x14ac:dyDescent="0.25">
      <c r="A239" t="s">
        <v>32</v>
      </c>
      <c r="B239" t="s">
        <v>33</v>
      </c>
      <c r="C239" t="s">
        <v>34</v>
      </c>
      <c r="D239" s="7">
        <v>45517</v>
      </c>
      <c r="E239" t="s">
        <v>73</v>
      </c>
      <c r="F239" s="8">
        <v>198095.1</v>
      </c>
      <c r="G239" t="s">
        <v>103</v>
      </c>
    </row>
    <row r="240" spans="1:7" x14ac:dyDescent="0.25">
      <c r="A240" t="s">
        <v>32</v>
      </c>
      <c r="B240" t="s">
        <v>33</v>
      </c>
      <c r="C240" t="s">
        <v>34</v>
      </c>
      <c r="D240" s="7">
        <v>45528</v>
      </c>
      <c r="E240" t="s">
        <v>97</v>
      </c>
      <c r="F240" s="8">
        <v>295017</v>
      </c>
      <c r="G240" t="s">
        <v>103</v>
      </c>
    </row>
    <row r="241" spans="1:7" x14ac:dyDescent="0.25">
      <c r="A241" t="s">
        <v>32</v>
      </c>
      <c r="B241" t="s">
        <v>33</v>
      </c>
      <c r="C241" t="s">
        <v>34</v>
      </c>
      <c r="D241" s="7">
        <v>45535</v>
      </c>
      <c r="E241" t="s">
        <v>73</v>
      </c>
      <c r="F241" s="8">
        <v>316300</v>
      </c>
      <c r="G241" t="s">
        <v>103</v>
      </c>
    </row>
    <row r="242" spans="1:7" x14ac:dyDescent="0.25">
      <c r="A242" t="s">
        <v>32</v>
      </c>
      <c r="B242" t="s">
        <v>33</v>
      </c>
      <c r="C242" t="s">
        <v>34</v>
      </c>
      <c r="D242" s="7">
        <v>45538</v>
      </c>
      <c r="E242" t="s">
        <v>87</v>
      </c>
      <c r="F242" s="8">
        <v>1205205</v>
      </c>
      <c r="G242" t="s">
        <v>103</v>
      </c>
    </row>
    <row r="243" spans="1:7" x14ac:dyDescent="0.25">
      <c r="A243" t="s">
        <v>32</v>
      </c>
      <c r="B243" t="s">
        <v>33</v>
      </c>
      <c r="C243" t="s">
        <v>34</v>
      </c>
      <c r="D243" s="7">
        <v>45538</v>
      </c>
      <c r="E243" t="s">
        <v>107</v>
      </c>
      <c r="F243" s="8">
        <v>798600</v>
      </c>
      <c r="G243" t="s">
        <v>103</v>
      </c>
    </row>
    <row r="244" spans="1:7" x14ac:dyDescent="0.25">
      <c r="A244" t="s">
        <v>32</v>
      </c>
      <c r="B244" t="s">
        <v>33</v>
      </c>
      <c r="C244" t="s">
        <v>34</v>
      </c>
      <c r="D244" s="7">
        <v>45540</v>
      </c>
      <c r="E244" t="s">
        <v>108</v>
      </c>
      <c r="F244" s="8">
        <v>959238.8</v>
      </c>
      <c r="G244" t="s">
        <v>103</v>
      </c>
    </row>
    <row r="245" spans="1:7" x14ac:dyDescent="0.25">
      <c r="A245" t="s">
        <v>32</v>
      </c>
      <c r="B245" t="s">
        <v>38</v>
      </c>
      <c r="C245" t="s">
        <v>39</v>
      </c>
      <c r="D245" s="7">
        <v>45548</v>
      </c>
      <c r="E245" t="s">
        <v>50</v>
      </c>
      <c r="F245" s="8">
        <v>742857.14</v>
      </c>
      <c r="G245" t="s">
        <v>103</v>
      </c>
    </row>
    <row r="246" spans="1:7" x14ac:dyDescent="0.25">
      <c r="A246" t="s">
        <v>32</v>
      </c>
      <c r="B246" t="s">
        <v>33</v>
      </c>
      <c r="C246" t="s">
        <v>34</v>
      </c>
      <c r="D246" s="7">
        <v>45555</v>
      </c>
      <c r="E246" t="s">
        <v>73</v>
      </c>
      <c r="F246" s="8">
        <v>221143</v>
      </c>
      <c r="G246" t="s">
        <v>103</v>
      </c>
    </row>
    <row r="247" spans="1:7" x14ac:dyDescent="0.25">
      <c r="A247" t="s">
        <v>32</v>
      </c>
      <c r="B247" t="s">
        <v>33</v>
      </c>
      <c r="C247" t="s">
        <v>34</v>
      </c>
      <c r="D247" s="7">
        <v>45556</v>
      </c>
      <c r="E247" t="s">
        <v>109</v>
      </c>
      <c r="F247" s="8">
        <v>820476.5</v>
      </c>
      <c r="G247" t="s">
        <v>103</v>
      </c>
    </row>
    <row r="248" spans="1:7" x14ac:dyDescent="0.25">
      <c r="A248" t="s">
        <v>32</v>
      </c>
      <c r="B248" t="s">
        <v>33</v>
      </c>
      <c r="C248" t="s">
        <v>34</v>
      </c>
      <c r="D248" s="7">
        <v>45563</v>
      </c>
      <c r="E248" t="s">
        <v>97</v>
      </c>
      <c r="F248" s="8">
        <v>360000</v>
      </c>
      <c r="G248" t="s">
        <v>103</v>
      </c>
    </row>
    <row r="249" spans="1:7" x14ac:dyDescent="0.25">
      <c r="A249" t="s">
        <v>32</v>
      </c>
      <c r="B249" t="s">
        <v>38</v>
      </c>
      <c r="C249" t="s">
        <v>34</v>
      </c>
      <c r="D249" s="7">
        <v>45565</v>
      </c>
      <c r="E249" t="s">
        <v>100</v>
      </c>
      <c r="F249" s="8">
        <v>190476.19</v>
      </c>
      <c r="G249" t="s">
        <v>103</v>
      </c>
    </row>
    <row r="250" spans="1:7" x14ac:dyDescent="0.25">
      <c r="A250" t="s">
        <v>32</v>
      </c>
      <c r="B250" t="s">
        <v>33</v>
      </c>
      <c r="C250" t="s">
        <v>34</v>
      </c>
      <c r="D250" s="7">
        <v>45566</v>
      </c>
      <c r="E250" t="s">
        <v>109</v>
      </c>
      <c r="F250" s="8">
        <v>775629</v>
      </c>
      <c r="G250" t="s">
        <v>103</v>
      </c>
    </row>
    <row r="251" spans="1:7" x14ac:dyDescent="0.25">
      <c r="A251" t="s">
        <v>32</v>
      </c>
      <c r="B251" t="s">
        <v>38</v>
      </c>
      <c r="C251" t="s">
        <v>39</v>
      </c>
      <c r="D251" s="7">
        <v>45568</v>
      </c>
      <c r="E251" t="s">
        <v>80</v>
      </c>
      <c r="F251" s="8">
        <v>805714.29</v>
      </c>
      <c r="G251" t="s">
        <v>103</v>
      </c>
    </row>
    <row r="252" spans="1:7" x14ac:dyDescent="0.25">
      <c r="A252" t="s">
        <v>32</v>
      </c>
      <c r="B252" t="s">
        <v>33</v>
      </c>
      <c r="C252" t="s">
        <v>34</v>
      </c>
      <c r="D252" s="7">
        <v>45572</v>
      </c>
      <c r="E252" t="s">
        <v>73</v>
      </c>
      <c r="F252" s="8">
        <v>153333.32999999999</v>
      </c>
      <c r="G252" t="s">
        <v>103</v>
      </c>
    </row>
    <row r="253" spans="1:7" x14ac:dyDescent="0.25">
      <c r="A253" t="s">
        <v>32</v>
      </c>
      <c r="B253" t="s">
        <v>33</v>
      </c>
      <c r="C253" t="s">
        <v>34</v>
      </c>
      <c r="D253" s="7">
        <v>45582</v>
      </c>
      <c r="E253" t="s">
        <v>110</v>
      </c>
      <c r="F253" s="8">
        <v>23430</v>
      </c>
      <c r="G253" t="s">
        <v>103</v>
      </c>
    </row>
    <row r="254" spans="1:7" x14ac:dyDescent="0.25">
      <c r="A254" t="s">
        <v>32</v>
      </c>
      <c r="B254" t="s">
        <v>33</v>
      </c>
      <c r="C254" t="s">
        <v>34</v>
      </c>
      <c r="D254" s="7">
        <v>45584</v>
      </c>
      <c r="E254" t="s">
        <v>69</v>
      </c>
      <c r="F254" s="8">
        <v>565740</v>
      </c>
      <c r="G254" t="s">
        <v>103</v>
      </c>
    </row>
    <row r="255" spans="1:7" x14ac:dyDescent="0.25">
      <c r="A255" t="s">
        <v>32</v>
      </c>
      <c r="B255" t="s">
        <v>33</v>
      </c>
      <c r="C255" t="s">
        <v>39</v>
      </c>
      <c r="D255" s="7">
        <v>45586</v>
      </c>
      <c r="E255" t="s">
        <v>100</v>
      </c>
      <c r="F255" s="8">
        <v>952381</v>
      </c>
      <c r="G255" t="s">
        <v>103</v>
      </c>
    </row>
    <row r="256" spans="1:7" x14ac:dyDescent="0.25">
      <c r="A256" t="s">
        <v>32</v>
      </c>
      <c r="B256" t="s">
        <v>33</v>
      </c>
      <c r="C256" t="s">
        <v>34</v>
      </c>
      <c r="D256" s="7">
        <v>45590</v>
      </c>
      <c r="E256" t="s">
        <v>48</v>
      </c>
      <c r="F256" s="8">
        <v>415324</v>
      </c>
      <c r="G256" t="s">
        <v>103</v>
      </c>
    </row>
    <row r="257" spans="1:7" x14ac:dyDescent="0.25">
      <c r="A257" t="s">
        <v>32</v>
      </c>
      <c r="B257" t="s">
        <v>38</v>
      </c>
      <c r="C257" t="s">
        <v>39</v>
      </c>
      <c r="D257" s="7">
        <v>45590</v>
      </c>
      <c r="E257" t="s">
        <v>111</v>
      </c>
      <c r="F257" s="8">
        <v>3619000</v>
      </c>
      <c r="G257" t="s">
        <v>103</v>
      </c>
    </row>
    <row r="258" spans="1:7" x14ac:dyDescent="0.25">
      <c r="A258" t="s">
        <v>32</v>
      </c>
      <c r="B258" t="s">
        <v>38</v>
      </c>
      <c r="C258" t="s">
        <v>39</v>
      </c>
      <c r="D258" s="7">
        <v>45594</v>
      </c>
      <c r="E258" t="s">
        <v>83</v>
      </c>
      <c r="F258" s="8">
        <v>1417142.85</v>
      </c>
      <c r="G258" t="s">
        <v>103</v>
      </c>
    </row>
    <row r="259" spans="1:7" x14ac:dyDescent="0.25">
      <c r="A259" t="s">
        <v>32</v>
      </c>
      <c r="B259" t="s">
        <v>33</v>
      </c>
      <c r="C259" t="s">
        <v>39</v>
      </c>
      <c r="D259" s="7">
        <v>45604</v>
      </c>
      <c r="E259" t="s">
        <v>112</v>
      </c>
      <c r="F259" s="8">
        <v>285715</v>
      </c>
      <c r="G259" t="s">
        <v>103</v>
      </c>
    </row>
    <row r="260" spans="1:7" x14ac:dyDescent="0.25">
      <c r="A260" t="s">
        <v>32</v>
      </c>
      <c r="B260" t="s">
        <v>33</v>
      </c>
      <c r="C260" t="s">
        <v>34</v>
      </c>
      <c r="D260" s="7">
        <v>45607</v>
      </c>
      <c r="E260" t="s">
        <v>73</v>
      </c>
      <c r="F260" s="8">
        <v>183325</v>
      </c>
      <c r="G260" t="s">
        <v>103</v>
      </c>
    </row>
    <row r="261" spans="1:7" x14ac:dyDescent="0.25">
      <c r="A261" t="s">
        <v>32</v>
      </c>
      <c r="B261" t="s">
        <v>33</v>
      </c>
      <c r="C261" t="s">
        <v>39</v>
      </c>
      <c r="D261" s="7">
        <v>45609</v>
      </c>
      <c r="E261" t="s">
        <v>89</v>
      </c>
      <c r="F261" s="8">
        <v>481219.04</v>
      </c>
      <c r="G261" t="s">
        <v>103</v>
      </c>
    </row>
    <row r="262" spans="1:7" x14ac:dyDescent="0.25">
      <c r="A262" t="s">
        <v>32</v>
      </c>
      <c r="B262" t="s">
        <v>33</v>
      </c>
      <c r="C262" t="s">
        <v>34</v>
      </c>
      <c r="D262" s="7">
        <v>45609</v>
      </c>
      <c r="E262" t="s">
        <v>79</v>
      </c>
      <c r="F262" s="8">
        <v>393730</v>
      </c>
      <c r="G262" t="s">
        <v>103</v>
      </c>
    </row>
    <row r="263" spans="1:7" x14ac:dyDescent="0.25">
      <c r="A263" t="s">
        <v>32</v>
      </c>
      <c r="B263" t="s">
        <v>33</v>
      </c>
      <c r="C263" t="s">
        <v>34</v>
      </c>
      <c r="D263" s="7">
        <v>45610</v>
      </c>
      <c r="E263" t="s">
        <v>79</v>
      </c>
      <c r="F263" s="8">
        <v>148580</v>
      </c>
      <c r="G263" t="s">
        <v>103</v>
      </c>
    </row>
    <row r="264" spans="1:7" x14ac:dyDescent="0.25">
      <c r="A264" t="s">
        <v>32</v>
      </c>
      <c r="B264" t="s">
        <v>38</v>
      </c>
      <c r="C264" t="s">
        <v>34</v>
      </c>
      <c r="D264" s="7">
        <v>45615</v>
      </c>
      <c r="E264" t="s">
        <v>100</v>
      </c>
      <c r="F264" s="8">
        <v>161714.28</v>
      </c>
      <c r="G264" t="s">
        <v>103</v>
      </c>
    </row>
    <row r="265" spans="1:7" x14ac:dyDescent="0.25">
      <c r="A265" t="s">
        <v>32</v>
      </c>
      <c r="B265" t="s">
        <v>33</v>
      </c>
      <c r="C265" t="s">
        <v>34</v>
      </c>
      <c r="D265" s="7">
        <v>45619</v>
      </c>
      <c r="E265" t="s">
        <v>99</v>
      </c>
      <c r="F265" s="8">
        <v>1188624.1000000001</v>
      </c>
      <c r="G265" t="s">
        <v>103</v>
      </c>
    </row>
    <row r="266" spans="1:7" x14ac:dyDescent="0.25">
      <c r="A266" t="s">
        <v>32</v>
      </c>
      <c r="B266" t="s">
        <v>33</v>
      </c>
      <c r="C266" t="s">
        <v>34</v>
      </c>
      <c r="D266" s="7">
        <v>45628</v>
      </c>
      <c r="E266" t="s">
        <v>113</v>
      </c>
      <c r="F266" s="8">
        <v>758095.25</v>
      </c>
      <c r="G266" t="s">
        <v>103</v>
      </c>
    </row>
    <row r="267" spans="1:7" x14ac:dyDescent="0.25">
      <c r="A267" t="s">
        <v>32</v>
      </c>
      <c r="B267" t="s">
        <v>38</v>
      </c>
      <c r="C267" t="s">
        <v>39</v>
      </c>
      <c r="D267" s="7">
        <v>45636</v>
      </c>
      <c r="E267" t="s">
        <v>114</v>
      </c>
      <c r="F267" s="8">
        <v>1591798.1</v>
      </c>
      <c r="G267" t="s">
        <v>103</v>
      </c>
    </row>
    <row r="268" spans="1:7" x14ac:dyDescent="0.25">
      <c r="A268" t="s">
        <v>32</v>
      </c>
      <c r="B268" t="s">
        <v>38</v>
      </c>
      <c r="C268" t="s">
        <v>39</v>
      </c>
      <c r="D268" s="7">
        <v>45636</v>
      </c>
      <c r="E268" t="s">
        <v>114</v>
      </c>
      <c r="F268" s="8">
        <v>260701.9</v>
      </c>
      <c r="G268" t="s">
        <v>103</v>
      </c>
    </row>
    <row r="269" spans="1:7" x14ac:dyDescent="0.25">
      <c r="A269" t="s">
        <v>32</v>
      </c>
      <c r="B269" t="s">
        <v>33</v>
      </c>
      <c r="C269" t="s">
        <v>34</v>
      </c>
      <c r="D269" s="7">
        <v>45645</v>
      </c>
      <c r="E269" t="s">
        <v>115</v>
      </c>
      <c r="F269" s="8">
        <v>211428.56</v>
      </c>
      <c r="G269" t="s">
        <v>103</v>
      </c>
    </row>
    <row r="270" spans="1:7" x14ac:dyDescent="0.25">
      <c r="A270" t="s">
        <v>32</v>
      </c>
      <c r="B270" t="s">
        <v>33</v>
      </c>
      <c r="C270" t="s">
        <v>34</v>
      </c>
      <c r="D270" s="7">
        <v>45646</v>
      </c>
      <c r="E270" t="s">
        <v>48</v>
      </c>
      <c r="F270" s="8">
        <v>208080</v>
      </c>
      <c r="G270" t="s">
        <v>103</v>
      </c>
    </row>
    <row r="271" spans="1:7" x14ac:dyDescent="0.25">
      <c r="A271" t="s">
        <v>32</v>
      </c>
      <c r="B271" t="s">
        <v>33</v>
      </c>
      <c r="C271" t="s">
        <v>34</v>
      </c>
      <c r="D271" s="7">
        <v>45649</v>
      </c>
      <c r="E271" t="s">
        <v>116</v>
      </c>
      <c r="F271" s="8">
        <v>213190.5</v>
      </c>
      <c r="G271" t="s">
        <v>103</v>
      </c>
    </row>
    <row r="272" spans="1:7" x14ac:dyDescent="0.25">
      <c r="A272" t="s">
        <v>32</v>
      </c>
      <c r="B272" t="s">
        <v>33</v>
      </c>
      <c r="C272" t="s">
        <v>34</v>
      </c>
      <c r="D272" s="7">
        <v>45650</v>
      </c>
      <c r="E272" t="s">
        <v>105</v>
      </c>
      <c r="F272" s="8">
        <v>88575</v>
      </c>
      <c r="G272" t="s">
        <v>103</v>
      </c>
    </row>
    <row r="273" spans="1:7" x14ac:dyDescent="0.25">
      <c r="A273" t="s">
        <v>32</v>
      </c>
      <c r="B273" t="s">
        <v>33</v>
      </c>
      <c r="C273" t="s">
        <v>34</v>
      </c>
      <c r="D273" s="7">
        <v>45654</v>
      </c>
      <c r="E273" t="s">
        <v>116</v>
      </c>
      <c r="F273" s="8">
        <v>215715</v>
      </c>
      <c r="G273" t="s">
        <v>103</v>
      </c>
    </row>
    <row r="274" spans="1:7" x14ac:dyDescent="0.25">
      <c r="A274" t="s">
        <v>32</v>
      </c>
      <c r="B274" t="s">
        <v>33</v>
      </c>
      <c r="C274" t="s">
        <v>34</v>
      </c>
      <c r="D274" s="7">
        <v>45654</v>
      </c>
      <c r="E274" t="s">
        <v>117</v>
      </c>
      <c r="F274" s="8">
        <v>290000</v>
      </c>
      <c r="G274" t="s">
        <v>103</v>
      </c>
    </row>
    <row r="275" spans="1:7" x14ac:dyDescent="0.25">
      <c r="A275" t="s">
        <v>32</v>
      </c>
      <c r="B275" t="s">
        <v>33</v>
      </c>
      <c r="C275" t="s">
        <v>34</v>
      </c>
      <c r="D275" s="7">
        <v>45654</v>
      </c>
      <c r="E275" t="s">
        <v>118</v>
      </c>
      <c r="F275" s="8">
        <v>358571</v>
      </c>
      <c r="G275" t="s">
        <v>103</v>
      </c>
    </row>
    <row r="276" spans="1:7" x14ac:dyDescent="0.25">
      <c r="A276" t="s">
        <v>32</v>
      </c>
      <c r="B276" t="s">
        <v>33</v>
      </c>
      <c r="C276" t="s">
        <v>34</v>
      </c>
      <c r="D276" s="7">
        <v>45659</v>
      </c>
      <c r="E276" t="s">
        <v>79</v>
      </c>
      <c r="F276" s="8">
        <v>540476</v>
      </c>
      <c r="G276" t="s">
        <v>103</v>
      </c>
    </row>
    <row r="277" spans="1:7" x14ac:dyDescent="0.25">
      <c r="A277" t="s">
        <v>32</v>
      </c>
      <c r="B277" t="s">
        <v>33</v>
      </c>
      <c r="C277" t="s">
        <v>34</v>
      </c>
      <c r="D277" s="7">
        <v>45660</v>
      </c>
      <c r="E277" t="s">
        <v>105</v>
      </c>
      <c r="F277" s="8">
        <v>647640</v>
      </c>
      <c r="G277" t="s">
        <v>103</v>
      </c>
    </row>
    <row r="278" spans="1:7" x14ac:dyDescent="0.25">
      <c r="A278" t="s">
        <v>32</v>
      </c>
      <c r="B278" t="s">
        <v>33</v>
      </c>
      <c r="C278" t="s">
        <v>34</v>
      </c>
      <c r="D278" s="7">
        <v>45663</v>
      </c>
      <c r="E278" t="s">
        <v>119</v>
      </c>
      <c r="F278" s="8">
        <v>151333.5</v>
      </c>
      <c r="G278" t="s">
        <v>103</v>
      </c>
    </row>
    <row r="279" spans="1:7" x14ac:dyDescent="0.25">
      <c r="A279" t="s">
        <v>32</v>
      </c>
      <c r="B279" t="s">
        <v>33</v>
      </c>
      <c r="C279" t="s">
        <v>34</v>
      </c>
      <c r="D279" s="7">
        <v>45663</v>
      </c>
      <c r="E279" t="s">
        <v>120</v>
      </c>
      <c r="F279" s="8">
        <v>854523.9</v>
      </c>
      <c r="G279" t="s">
        <v>103</v>
      </c>
    </row>
    <row r="280" spans="1:7" x14ac:dyDescent="0.25">
      <c r="A280" t="s">
        <v>32</v>
      </c>
      <c r="B280" t="s">
        <v>33</v>
      </c>
      <c r="C280" t="s">
        <v>34</v>
      </c>
      <c r="D280" s="7">
        <v>45663</v>
      </c>
      <c r="E280" t="s">
        <v>118</v>
      </c>
      <c r="F280" s="8">
        <v>217143</v>
      </c>
      <c r="G280" t="s">
        <v>103</v>
      </c>
    </row>
    <row r="281" spans="1:7" x14ac:dyDescent="0.25">
      <c r="A281" t="s">
        <v>32</v>
      </c>
      <c r="B281" t="s">
        <v>33</v>
      </c>
      <c r="C281" t="s">
        <v>34</v>
      </c>
      <c r="D281" s="7">
        <v>45666</v>
      </c>
      <c r="E281" t="s">
        <v>105</v>
      </c>
      <c r="F281" s="8">
        <v>227142.86</v>
      </c>
      <c r="G281" t="s">
        <v>103</v>
      </c>
    </row>
    <row r="282" spans="1:7" x14ac:dyDescent="0.25">
      <c r="A282" t="s">
        <v>32</v>
      </c>
      <c r="B282" t="s">
        <v>38</v>
      </c>
      <c r="C282" t="s">
        <v>34</v>
      </c>
      <c r="D282" s="7">
        <v>45667</v>
      </c>
      <c r="E282" t="s">
        <v>78</v>
      </c>
      <c r="F282" s="8">
        <v>466190.48</v>
      </c>
      <c r="G282" t="s">
        <v>103</v>
      </c>
    </row>
    <row r="283" spans="1:7" x14ac:dyDescent="0.25">
      <c r="A283" t="s">
        <v>32</v>
      </c>
      <c r="B283" t="s">
        <v>38</v>
      </c>
      <c r="C283" t="s">
        <v>34</v>
      </c>
      <c r="D283" s="7">
        <v>45667</v>
      </c>
      <c r="E283" t="s">
        <v>121</v>
      </c>
      <c r="F283" s="8">
        <v>476190.48</v>
      </c>
      <c r="G283" t="s">
        <v>103</v>
      </c>
    </row>
    <row r="284" spans="1:7" x14ac:dyDescent="0.25">
      <c r="A284" t="s">
        <v>32</v>
      </c>
      <c r="B284" t="s">
        <v>33</v>
      </c>
      <c r="C284" t="s">
        <v>34</v>
      </c>
      <c r="D284" s="7">
        <v>45668</v>
      </c>
      <c r="E284" t="s">
        <v>105</v>
      </c>
      <c r="F284" s="8">
        <v>511335.3</v>
      </c>
      <c r="G284" t="s">
        <v>103</v>
      </c>
    </row>
    <row r="285" spans="1:7" x14ac:dyDescent="0.25">
      <c r="A285" t="s">
        <v>32</v>
      </c>
      <c r="B285" t="s">
        <v>38</v>
      </c>
      <c r="C285" t="s">
        <v>34</v>
      </c>
      <c r="D285" s="7">
        <v>45668</v>
      </c>
      <c r="E285" t="s">
        <v>122</v>
      </c>
      <c r="F285" s="8">
        <v>226571.6</v>
      </c>
      <c r="G285" t="s">
        <v>103</v>
      </c>
    </row>
    <row r="286" spans="1:7" x14ac:dyDescent="0.25">
      <c r="A286" t="s">
        <v>32</v>
      </c>
      <c r="B286" t="s">
        <v>33</v>
      </c>
      <c r="C286" t="s">
        <v>34</v>
      </c>
      <c r="D286" s="7">
        <v>45670</v>
      </c>
      <c r="E286" t="s">
        <v>123</v>
      </c>
      <c r="F286" s="8">
        <v>217143</v>
      </c>
      <c r="G286" t="s">
        <v>103</v>
      </c>
    </row>
    <row r="287" spans="1:7" x14ac:dyDescent="0.25">
      <c r="A287" t="s">
        <v>32</v>
      </c>
      <c r="B287" t="s">
        <v>38</v>
      </c>
      <c r="C287" t="s">
        <v>34</v>
      </c>
      <c r="D287" s="7">
        <v>45670</v>
      </c>
      <c r="E287" t="s">
        <v>124</v>
      </c>
      <c r="F287" s="8">
        <v>1308382.3</v>
      </c>
      <c r="G287" t="s">
        <v>103</v>
      </c>
    </row>
    <row r="288" spans="1:7" x14ac:dyDescent="0.25">
      <c r="A288" t="s">
        <v>32</v>
      </c>
      <c r="B288" t="s">
        <v>33</v>
      </c>
      <c r="C288" t="s">
        <v>34</v>
      </c>
      <c r="D288" s="7">
        <v>45672</v>
      </c>
      <c r="E288" t="s">
        <v>125</v>
      </c>
      <c r="F288" s="8">
        <v>142380</v>
      </c>
      <c r="G288" t="s">
        <v>103</v>
      </c>
    </row>
    <row r="289" spans="1:7" x14ac:dyDescent="0.25">
      <c r="A289" t="s">
        <v>32</v>
      </c>
      <c r="B289" t="s">
        <v>33</v>
      </c>
      <c r="C289" t="s">
        <v>34</v>
      </c>
      <c r="D289" s="7">
        <v>45672</v>
      </c>
      <c r="E289" t="s">
        <v>120</v>
      </c>
      <c r="F289" s="8">
        <v>230112</v>
      </c>
      <c r="G289" t="s">
        <v>103</v>
      </c>
    </row>
    <row r="290" spans="1:7" x14ac:dyDescent="0.25">
      <c r="A290" t="s">
        <v>32</v>
      </c>
      <c r="B290" t="s">
        <v>33</v>
      </c>
      <c r="C290" t="s">
        <v>34</v>
      </c>
      <c r="D290" s="7">
        <v>45673</v>
      </c>
      <c r="E290" t="s">
        <v>120</v>
      </c>
      <c r="F290" s="8">
        <v>389732</v>
      </c>
      <c r="G290" t="s">
        <v>103</v>
      </c>
    </row>
    <row r="291" spans="1:7" x14ac:dyDescent="0.25">
      <c r="A291" t="s">
        <v>32</v>
      </c>
      <c r="B291" t="s">
        <v>33</v>
      </c>
      <c r="C291" t="s">
        <v>34</v>
      </c>
      <c r="D291" s="7">
        <v>45674</v>
      </c>
      <c r="E291" t="s">
        <v>79</v>
      </c>
      <c r="F291" s="8">
        <v>575238.09</v>
      </c>
      <c r="G291" t="s">
        <v>103</v>
      </c>
    </row>
    <row r="292" spans="1:7" x14ac:dyDescent="0.25">
      <c r="A292" t="s">
        <v>32</v>
      </c>
      <c r="B292" t="s">
        <v>33</v>
      </c>
      <c r="C292" t="s">
        <v>34</v>
      </c>
      <c r="D292" s="7">
        <v>45675</v>
      </c>
      <c r="E292" t="s">
        <v>119</v>
      </c>
      <c r="F292" s="8">
        <v>67720</v>
      </c>
      <c r="G292" t="s">
        <v>103</v>
      </c>
    </row>
    <row r="293" spans="1:7" x14ac:dyDescent="0.25">
      <c r="A293" t="s">
        <v>32</v>
      </c>
      <c r="B293" t="s">
        <v>38</v>
      </c>
      <c r="C293" t="s">
        <v>39</v>
      </c>
      <c r="D293" s="7">
        <v>45678</v>
      </c>
      <c r="E293" t="s">
        <v>126</v>
      </c>
      <c r="F293" s="8">
        <v>1857142.86</v>
      </c>
      <c r="G293" t="s">
        <v>103</v>
      </c>
    </row>
    <row r="294" spans="1:7" x14ac:dyDescent="0.25">
      <c r="A294" t="s">
        <v>32</v>
      </c>
      <c r="B294" t="s">
        <v>33</v>
      </c>
      <c r="C294" t="s">
        <v>34</v>
      </c>
      <c r="D294" s="7">
        <v>45679</v>
      </c>
      <c r="E294" t="s">
        <v>72</v>
      </c>
      <c r="F294" s="8">
        <v>148580</v>
      </c>
      <c r="G294" t="s">
        <v>103</v>
      </c>
    </row>
    <row r="295" spans="1:7" x14ac:dyDescent="0.25">
      <c r="A295" t="s">
        <v>32</v>
      </c>
      <c r="B295" t="s">
        <v>38</v>
      </c>
      <c r="C295" t="s">
        <v>34</v>
      </c>
      <c r="D295" s="7">
        <v>45679</v>
      </c>
      <c r="E295" t="s">
        <v>127</v>
      </c>
      <c r="F295" s="8">
        <v>285713</v>
      </c>
      <c r="G295" t="s">
        <v>103</v>
      </c>
    </row>
    <row r="296" spans="1:7" x14ac:dyDescent="0.25">
      <c r="A296" t="s">
        <v>32</v>
      </c>
      <c r="B296" t="s">
        <v>33</v>
      </c>
      <c r="C296" t="s">
        <v>34</v>
      </c>
      <c r="D296" s="7">
        <v>45684</v>
      </c>
      <c r="E296" t="s">
        <v>105</v>
      </c>
      <c r="F296" s="8">
        <v>380894</v>
      </c>
      <c r="G296" t="s">
        <v>103</v>
      </c>
    </row>
    <row r="297" spans="1:7" x14ac:dyDescent="0.25">
      <c r="A297" t="s">
        <v>32</v>
      </c>
      <c r="B297" t="s">
        <v>33</v>
      </c>
      <c r="C297" t="s">
        <v>39</v>
      </c>
      <c r="D297" s="7">
        <v>45686</v>
      </c>
      <c r="E297" t="s">
        <v>112</v>
      </c>
      <c r="F297" s="8">
        <v>131690</v>
      </c>
      <c r="G297" t="s">
        <v>103</v>
      </c>
    </row>
    <row r="298" spans="1:7" x14ac:dyDescent="0.25">
      <c r="A298" t="s">
        <v>32</v>
      </c>
      <c r="B298" t="s">
        <v>38</v>
      </c>
      <c r="C298" t="s">
        <v>34</v>
      </c>
      <c r="D298" s="7">
        <v>45686</v>
      </c>
      <c r="E298" t="s">
        <v>100</v>
      </c>
      <c r="F298" s="8">
        <v>704761.9</v>
      </c>
      <c r="G298" t="s">
        <v>103</v>
      </c>
    </row>
    <row r="299" spans="1:7" x14ac:dyDescent="0.25">
      <c r="A299" t="s">
        <v>32</v>
      </c>
      <c r="B299" t="s">
        <v>38</v>
      </c>
      <c r="C299" t="s">
        <v>34</v>
      </c>
      <c r="D299" s="7">
        <v>45687</v>
      </c>
      <c r="E299" t="s">
        <v>128</v>
      </c>
      <c r="F299" s="8">
        <v>285714.3</v>
      </c>
      <c r="G299" t="s">
        <v>103</v>
      </c>
    </row>
    <row r="300" spans="1:7" x14ac:dyDescent="0.25">
      <c r="A300" t="s">
        <v>32</v>
      </c>
      <c r="B300" t="s">
        <v>38</v>
      </c>
      <c r="C300" t="s">
        <v>34</v>
      </c>
      <c r="D300" s="7">
        <v>45695</v>
      </c>
      <c r="E300" t="s">
        <v>129</v>
      </c>
      <c r="F300" s="8">
        <v>110190.48</v>
      </c>
      <c r="G300" t="s">
        <v>103</v>
      </c>
    </row>
    <row r="301" spans="1:7" x14ac:dyDescent="0.25">
      <c r="A301" t="s">
        <v>32</v>
      </c>
      <c r="B301" t="s">
        <v>33</v>
      </c>
      <c r="C301" t="s">
        <v>34</v>
      </c>
      <c r="D301" s="7">
        <v>45698</v>
      </c>
      <c r="E301" t="s">
        <v>48</v>
      </c>
      <c r="F301" s="8">
        <v>538606</v>
      </c>
      <c r="G301" t="s">
        <v>103</v>
      </c>
    </row>
    <row r="302" spans="1:7" x14ac:dyDescent="0.25">
      <c r="A302" t="s">
        <v>32</v>
      </c>
      <c r="B302" t="s">
        <v>33</v>
      </c>
      <c r="C302" t="s">
        <v>34</v>
      </c>
      <c r="D302" s="7">
        <v>45699</v>
      </c>
      <c r="E302" t="s">
        <v>73</v>
      </c>
      <c r="F302" s="8">
        <v>222642</v>
      </c>
      <c r="G302" t="s">
        <v>103</v>
      </c>
    </row>
    <row r="303" spans="1:7" x14ac:dyDescent="0.25">
      <c r="A303" t="s">
        <v>32</v>
      </c>
      <c r="B303" t="s">
        <v>33</v>
      </c>
      <c r="C303" t="s">
        <v>34</v>
      </c>
      <c r="D303" s="7">
        <v>45700</v>
      </c>
      <c r="E303" t="s">
        <v>105</v>
      </c>
      <c r="F303" s="8">
        <v>470556</v>
      </c>
      <c r="G303" t="s">
        <v>103</v>
      </c>
    </row>
    <row r="304" spans="1:7" x14ac:dyDescent="0.25">
      <c r="A304" t="s">
        <v>32</v>
      </c>
      <c r="B304" t="s">
        <v>38</v>
      </c>
      <c r="C304" t="s">
        <v>39</v>
      </c>
      <c r="D304" s="7">
        <v>45701</v>
      </c>
      <c r="E304" t="s">
        <v>47</v>
      </c>
      <c r="F304" s="8">
        <v>238095</v>
      </c>
      <c r="G304" t="s">
        <v>103</v>
      </c>
    </row>
    <row r="305" spans="1:7" x14ac:dyDescent="0.25">
      <c r="A305" t="s">
        <v>32</v>
      </c>
      <c r="B305" t="s">
        <v>38</v>
      </c>
      <c r="C305" t="s">
        <v>34</v>
      </c>
      <c r="D305" s="7">
        <v>45701</v>
      </c>
      <c r="E305" t="s">
        <v>80</v>
      </c>
      <c r="F305" s="8">
        <v>952380.95</v>
      </c>
      <c r="G305" t="s">
        <v>103</v>
      </c>
    </row>
    <row r="306" spans="1:7" x14ac:dyDescent="0.25">
      <c r="A306" t="s">
        <v>32</v>
      </c>
      <c r="B306" t="s">
        <v>33</v>
      </c>
      <c r="C306" t="s">
        <v>34</v>
      </c>
      <c r="D306" s="7">
        <v>45709</v>
      </c>
      <c r="E306" t="s">
        <v>105</v>
      </c>
      <c r="F306" s="8">
        <v>316667</v>
      </c>
      <c r="G306" t="s">
        <v>103</v>
      </c>
    </row>
    <row r="307" spans="1:7" x14ac:dyDescent="0.25">
      <c r="A307" t="s">
        <v>32</v>
      </c>
      <c r="B307" t="s">
        <v>33</v>
      </c>
      <c r="C307" t="s">
        <v>34</v>
      </c>
      <c r="D307" s="7">
        <v>45709</v>
      </c>
      <c r="E307" t="s">
        <v>130</v>
      </c>
      <c r="F307" s="8">
        <v>371520</v>
      </c>
      <c r="G307" t="s">
        <v>103</v>
      </c>
    </row>
    <row r="308" spans="1:7" x14ac:dyDescent="0.25">
      <c r="A308" t="s">
        <v>32</v>
      </c>
      <c r="B308" t="s">
        <v>33</v>
      </c>
      <c r="C308" t="s">
        <v>34</v>
      </c>
      <c r="D308" s="7">
        <v>45710</v>
      </c>
      <c r="E308" t="s">
        <v>99</v>
      </c>
      <c r="F308" s="8">
        <v>2314286</v>
      </c>
      <c r="G308" t="s">
        <v>103</v>
      </c>
    </row>
    <row r="309" spans="1:7" x14ac:dyDescent="0.25">
      <c r="A309" t="s">
        <v>32</v>
      </c>
      <c r="B309" t="s">
        <v>38</v>
      </c>
      <c r="C309" t="s">
        <v>34</v>
      </c>
      <c r="D309" s="7">
        <v>45710</v>
      </c>
      <c r="E309" t="s">
        <v>63</v>
      </c>
      <c r="F309" s="8">
        <v>209523.8</v>
      </c>
      <c r="G309" t="s">
        <v>103</v>
      </c>
    </row>
    <row r="310" spans="1:7" x14ac:dyDescent="0.25">
      <c r="A310" t="s">
        <v>32</v>
      </c>
      <c r="B310" t="s">
        <v>33</v>
      </c>
      <c r="C310" t="s">
        <v>34</v>
      </c>
      <c r="D310" s="7">
        <v>45717</v>
      </c>
      <c r="E310" t="s">
        <v>131</v>
      </c>
      <c r="F310" s="8">
        <v>148287</v>
      </c>
      <c r="G310" t="s">
        <v>103</v>
      </c>
    </row>
    <row r="311" spans="1:7" x14ac:dyDescent="0.25">
      <c r="A311" t="s">
        <v>32</v>
      </c>
      <c r="B311" t="s">
        <v>33</v>
      </c>
      <c r="C311" t="s">
        <v>34</v>
      </c>
      <c r="D311" s="7">
        <v>45717</v>
      </c>
      <c r="E311" t="s">
        <v>52</v>
      </c>
      <c r="F311" s="8">
        <v>120900</v>
      </c>
      <c r="G311" t="s">
        <v>103</v>
      </c>
    </row>
    <row r="312" spans="1:7" x14ac:dyDescent="0.25">
      <c r="A312" t="s">
        <v>32</v>
      </c>
      <c r="B312" t="s">
        <v>33</v>
      </c>
      <c r="C312" t="s">
        <v>34</v>
      </c>
      <c r="D312" s="7">
        <v>45718</v>
      </c>
      <c r="E312" t="s">
        <v>52</v>
      </c>
      <c r="F312" s="8">
        <v>96720</v>
      </c>
      <c r="G312" t="s">
        <v>103</v>
      </c>
    </row>
    <row r="313" spans="1:7" x14ac:dyDescent="0.25">
      <c r="A313" t="s">
        <v>32</v>
      </c>
      <c r="B313" t="s">
        <v>33</v>
      </c>
      <c r="C313" t="s">
        <v>34</v>
      </c>
      <c r="D313" s="7">
        <v>45718</v>
      </c>
      <c r="E313" t="s">
        <v>52</v>
      </c>
      <c r="F313" s="8">
        <v>175910</v>
      </c>
      <c r="G313" t="s">
        <v>103</v>
      </c>
    </row>
    <row r="314" spans="1:7" x14ac:dyDescent="0.25">
      <c r="A314" t="s">
        <v>32</v>
      </c>
      <c r="B314" t="s">
        <v>33</v>
      </c>
      <c r="C314" t="s">
        <v>34</v>
      </c>
      <c r="D314" s="7">
        <v>45721</v>
      </c>
      <c r="E314" t="s">
        <v>119</v>
      </c>
      <c r="F314" s="8">
        <v>98100</v>
      </c>
      <c r="G314" t="s">
        <v>103</v>
      </c>
    </row>
    <row r="315" spans="1:7" x14ac:dyDescent="0.25">
      <c r="A315" t="s">
        <v>32</v>
      </c>
      <c r="B315" t="s">
        <v>38</v>
      </c>
      <c r="C315" t="s">
        <v>34</v>
      </c>
      <c r="D315" s="7">
        <v>45729</v>
      </c>
      <c r="E315" t="s">
        <v>80</v>
      </c>
      <c r="F315" s="8">
        <v>1177780.95</v>
      </c>
      <c r="G315" t="s">
        <v>103</v>
      </c>
    </row>
    <row r="316" spans="1:7" x14ac:dyDescent="0.25">
      <c r="A316" t="s">
        <v>32</v>
      </c>
      <c r="B316" t="s">
        <v>33</v>
      </c>
      <c r="C316" t="s">
        <v>34</v>
      </c>
      <c r="D316" s="7">
        <v>45734</v>
      </c>
      <c r="E316" t="s">
        <v>132</v>
      </c>
      <c r="F316" s="8">
        <v>913715</v>
      </c>
      <c r="G316" t="s">
        <v>103</v>
      </c>
    </row>
    <row r="317" spans="1:7" x14ac:dyDescent="0.25">
      <c r="A317" t="s">
        <v>32</v>
      </c>
      <c r="B317" t="s">
        <v>38</v>
      </c>
      <c r="C317" t="s">
        <v>34</v>
      </c>
      <c r="D317" s="7">
        <v>45735</v>
      </c>
      <c r="E317" t="s">
        <v>133</v>
      </c>
      <c r="F317" s="8">
        <v>171428.57</v>
      </c>
      <c r="G317" t="s">
        <v>103</v>
      </c>
    </row>
    <row r="318" spans="1:7" x14ac:dyDescent="0.25">
      <c r="A318" t="s">
        <v>32</v>
      </c>
      <c r="B318" t="s">
        <v>33</v>
      </c>
      <c r="C318" t="s">
        <v>34</v>
      </c>
      <c r="D318" s="7">
        <v>45737</v>
      </c>
      <c r="E318" t="s">
        <v>134</v>
      </c>
      <c r="F318" s="8">
        <v>197160</v>
      </c>
      <c r="G318" t="s">
        <v>103</v>
      </c>
    </row>
    <row r="319" spans="1:7" x14ac:dyDescent="0.25">
      <c r="A319" t="s">
        <v>32</v>
      </c>
      <c r="B319" t="s">
        <v>33</v>
      </c>
      <c r="C319" t="s">
        <v>34</v>
      </c>
      <c r="D319" s="7">
        <v>45742</v>
      </c>
      <c r="E319" t="s">
        <v>106</v>
      </c>
      <c r="F319" s="8">
        <v>315225</v>
      </c>
      <c r="G319" t="s">
        <v>103</v>
      </c>
    </row>
    <row r="320" spans="1:7" x14ac:dyDescent="0.25">
      <c r="A320" t="s">
        <v>32</v>
      </c>
      <c r="B320" t="s">
        <v>33</v>
      </c>
      <c r="C320" t="s">
        <v>34</v>
      </c>
      <c r="D320" s="7">
        <v>45745</v>
      </c>
      <c r="E320" t="s">
        <v>99</v>
      </c>
      <c r="F320" s="8">
        <v>780952.5</v>
      </c>
      <c r="G320" t="s">
        <v>103</v>
      </c>
    </row>
    <row r="321" spans="1:7" x14ac:dyDescent="0.25">
      <c r="A321" t="s">
        <v>32</v>
      </c>
      <c r="B321" t="s">
        <v>38</v>
      </c>
      <c r="C321" t="s">
        <v>34</v>
      </c>
      <c r="D321" s="7">
        <v>45745</v>
      </c>
      <c r="E321" t="s">
        <v>100</v>
      </c>
      <c r="F321" s="8">
        <v>63904.76</v>
      </c>
      <c r="G321" t="s">
        <v>103</v>
      </c>
    </row>
    <row r="322" spans="1:7" x14ac:dyDescent="0.25">
      <c r="A322" t="s">
        <v>32</v>
      </c>
      <c r="B322" t="s">
        <v>33</v>
      </c>
      <c r="C322" t="s">
        <v>34</v>
      </c>
      <c r="D322" s="7">
        <v>45750</v>
      </c>
      <c r="E322" t="s">
        <v>105</v>
      </c>
      <c r="F322" s="8">
        <v>418560</v>
      </c>
      <c r="G322" t="s">
        <v>135</v>
      </c>
    </row>
    <row r="323" spans="1:7" x14ac:dyDescent="0.25">
      <c r="A323" t="s">
        <v>32</v>
      </c>
      <c r="B323" t="s">
        <v>33</v>
      </c>
      <c r="C323" t="s">
        <v>34</v>
      </c>
      <c r="D323" s="7">
        <v>45752</v>
      </c>
      <c r="E323" t="s">
        <v>134</v>
      </c>
      <c r="F323" s="8">
        <v>212142.9</v>
      </c>
      <c r="G323" t="s">
        <v>135</v>
      </c>
    </row>
    <row r="324" spans="1:7" x14ac:dyDescent="0.25">
      <c r="A324" t="s">
        <v>32</v>
      </c>
      <c r="B324" t="s">
        <v>33</v>
      </c>
      <c r="C324" t="s">
        <v>34</v>
      </c>
      <c r="D324" s="7">
        <v>45752</v>
      </c>
      <c r="E324" t="s">
        <v>106</v>
      </c>
      <c r="F324" s="8">
        <v>361428.6</v>
      </c>
      <c r="G324" t="s">
        <v>135</v>
      </c>
    </row>
    <row r="325" spans="1:7" x14ac:dyDescent="0.25">
      <c r="A325" t="s">
        <v>32</v>
      </c>
      <c r="B325" t="s">
        <v>33</v>
      </c>
      <c r="C325" t="s">
        <v>34</v>
      </c>
      <c r="D325" s="7">
        <v>45762</v>
      </c>
      <c r="E325" t="s">
        <v>136</v>
      </c>
      <c r="F325" s="8">
        <v>714286</v>
      </c>
      <c r="G325" t="s">
        <v>135</v>
      </c>
    </row>
    <row r="326" spans="1:7" x14ac:dyDescent="0.25">
      <c r="A326" t="s">
        <v>32</v>
      </c>
      <c r="B326" t="s">
        <v>33</v>
      </c>
      <c r="C326" t="s">
        <v>34</v>
      </c>
      <c r="D326" s="7">
        <v>45762</v>
      </c>
      <c r="E326" t="s">
        <v>73</v>
      </c>
      <c r="F326" s="8">
        <v>260238</v>
      </c>
      <c r="G326" t="s">
        <v>135</v>
      </c>
    </row>
    <row r="327" spans="1:7" x14ac:dyDescent="0.25">
      <c r="A327" t="s">
        <v>32</v>
      </c>
      <c r="B327" t="s">
        <v>33</v>
      </c>
      <c r="C327" t="s">
        <v>34</v>
      </c>
      <c r="D327" s="7">
        <v>45763</v>
      </c>
      <c r="E327" t="s">
        <v>106</v>
      </c>
      <c r="F327" s="8">
        <v>214286</v>
      </c>
      <c r="G327" t="s">
        <v>135</v>
      </c>
    </row>
    <row r="328" spans="1:7" x14ac:dyDescent="0.25">
      <c r="A328" t="s">
        <v>32</v>
      </c>
      <c r="B328" t="s">
        <v>33</v>
      </c>
      <c r="C328" t="s">
        <v>34</v>
      </c>
      <c r="D328" s="7">
        <v>45763</v>
      </c>
      <c r="E328" t="s">
        <v>118</v>
      </c>
      <c r="F328" s="8">
        <v>357143</v>
      </c>
      <c r="G328" t="s">
        <v>135</v>
      </c>
    </row>
    <row r="329" spans="1:7" x14ac:dyDescent="0.25">
      <c r="A329" t="s">
        <v>32</v>
      </c>
      <c r="B329" t="s">
        <v>38</v>
      </c>
      <c r="C329" t="s">
        <v>34</v>
      </c>
      <c r="D329" s="7">
        <v>45763</v>
      </c>
      <c r="E329" t="s">
        <v>137</v>
      </c>
      <c r="F329" s="8">
        <v>210000</v>
      </c>
      <c r="G329" t="s">
        <v>135</v>
      </c>
    </row>
    <row r="330" spans="1:7" x14ac:dyDescent="0.25">
      <c r="A330" t="s">
        <v>32</v>
      </c>
      <c r="B330" t="s">
        <v>38</v>
      </c>
      <c r="C330" t="s">
        <v>39</v>
      </c>
      <c r="D330" s="7">
        <v>45768</v>
      </c>
      <c r="E330" t="s">
        <v>138</v>
      </c>
      <c r="F330" s="8">
        <v>3788471.56</v>
      </c>
      <c r="G330" t="s">
        <v>135</v>
      </c>
    </row>
    <row r="331" spans="1:7" x14ac:dyDescent="0.25">
      <c r="A331" t="s">
        <v>32</v>
      </c>
      <c r="B331" t="s">
        <v>33</v>
      </c>
      <c r="C331" t="s">
        <v>34</v>
      </c>
      <c r="D331" s="7">
        <v>45770</v>
      </c>
      <c r="E331" t="s">
        <v>105</v>
      </c>
      <c r="F331" s="8">
        <v>304763.5</v>
      </c>
      <c r="G331" t="s">
        <v>135</v>
      </c>
    </row>
    <row r="332" spans="1:7" x14ac:dyDescent="0.25">
      <c r="A332" t="s">
        <v>32</v>
      </c>
      <c r="B332" t="s">
        <v>38</v>
      </c>
      <c r="C332" t="s">
        <v>39</v>
      </c>
      <c r="D332" s="7">
        <v>45770</v>
      </c>
      <c r="E332" t="s">
        <v>129</v>
      </c>
      <c r="F332" s="8">
        <v>623809.52</v>
      </c>
      <c r="G332" t="s">
        <v>135</v>
      </c>
    </row>
    <row r="333" spans="1:7" x14ac:dyDescent="0.25">
      <c r="A333" t="s">
        <v>32</v>
      </c>
      <c r="B333" t="s">
        <v>38</v>
      </c>
      <c r="C333" t="s">
        <v>34</v>
      </c>
      <c r="D333" s="7">
        <v>45770</v>
      </c>
      <c r="E333" t="s">
        <v>129</v>
      </c>
      <c r="F333" s="8">
        <v>809523.8</v>
      </c>
      <c r="G333" t="s">
        <v>135</v>
      </c>
    </row>
    <row r="334" spans="1:7" x14ac:dyDescent="0.25">
      <c r="A334" t="s">
        <v>32</v>
      </c>
      <c r="B334" t="s">
        <v>33</v>
      </c>
      <c r="C334" t="s">
        <v>34</v>
      </c>
      <c r="D334" s="7">
        <v>45772</v>
      </c>
      <c r="E334" t="s">
        <v>134</v>
      </c>
      <c r="F334" s="8">
        <v>201619.6</v>
      </c>
      <c r="G334" t="s">
        <v>135</v>
      </c>
    </row>
    <row r="335" spans="1:7" x14ac:dyDescent="0.25">
      <c r="A335" t="s">
        <v>32</v>
      </c>
      <c r="B335" t="s">
        <v>33</v>
      </c>
      <c r="C335" t="s">
        <v>34</v>
      </c>
      <c r="D335" s="7">
        <v>45782</v>
      </c>
      <c r="E335" t="s">
        <v>131</v>
      </c>
      <c r="F335" s="8">
        <v>161334</v>
      </c>
      <c r="G335" t="s">
        <v>135</v>
      </c>
    </row>
    <row r="336" spans="1:7" x14ac:dyDescent="0.25">
      <c r="A336" t="s">
        <v>32</v>
      </c>
      <c r="B336" t="s">
        <v>38</v>
      </c>
      <c r="C336" t="s">
        <v>39</v>
      </c>
      <c r="D336" s="7">
        <v>45785</v>
      </c>
      <c r="E336" t="s">
        <v>139</v>
      </c>
      <c r="F336" s="8">
        <v>1292480</v>
      </c>
      <c r="G336" t="s">
        <v>135</v>
      </c>
    </row>
    <row r="337" spans="1:7" x14ac:dyDescent="0.25">
      <c r="A337" t="s">
        <v>32</v>
      </c>
      <c r="B337" t="s">
        <v>33</v>
      </c>
      <c r="C337" t="s">
        <v>34</v>
      </c>
      <c r="D337" s="7">
        <v>45786</v>
      </c>
      <c r="E337" t="s">
        <v>140</v>
      </c>
      <c r="F337" s="8">
        <v>18666.599999999999</v>
      </c>
      <c r="G337" t="s">
        <v>135</v>
      </c>
    </row>
    <row r="338" spans="1:7" x14ac:dyDescent="0.25">
      <c r="A338" t="s">
        <v>32</v>
      </c>
      <c r="B338" t="s">
        <v>33</v>
      </c>
      <c r="C338" t="s">
        <v>34</v>
      </c>
      <c r="D338" s="7">
        <v>45793</v>
      </c>
      <c r="E338" t="s">
        <v>141</v>
      </c>
      <c r="F338" s="8">
        <v>199048</v>
      </c>
      <c r="G338" t="s">
        <v>135</v>
      </c>
    </row>
    <row r="339" spans="1:7" x14ac:dyDescent="0.25">
      <c r="A339" t="s">
        <v>32</v>
      </c>
      <c r="B339" t="s">
        <v>33</v>
      </c>
      <c r="C339" t="s">
        <v>34</v>
      </c>
      <c r="D339" s="7">
        <v>45797</v>
      </c>
      <c r="E339" t="s">
        <v>105</v>
      </c>
      <c r="F339" s="8">
        <v>222625</v>
      </c>
      <c r="G339" t="s">
        <v>135</v>
      </c>
    </row>
    <row r="340" spans="1:7" x14ac:dyDescent="0.25">
      <c r="A340" t="s">
        <v>32</v>
      </c>
      <c r="B340" t="s">
        <v>33</v>
      </c>
      <c r="C340" t="s">
        <v>34</v>
      </c>
      <c r="D340" s="7">
        <v>45800</v>
      </c>
      <c r="E340" t="s">
        <v>132</v>
      </c>
      <c r="F340" s="8">
        <v>852286</v>
      </c>
      <c r="G340" t="s">
        <v>135</v>
      </c>
    </row>
    <row r="341" spans="1:7" x14ac:dyDescent="0.25">
      <c r="A341" t="s">
        <v>32</v>
      </c>
      <c r="B341" t="s">
        <v>33</v>
      </c>
      <c r="C341" t="s">
        <v>34</v>
      </c>
      <c r="D341" s="7">
        <v>45804</v>
      </c>
      <c r="E341" t="s">
        <v>48</v>
      </c>
      <c r="F341" s="8">
        <v>867241</v>
      </c>
      <c r="G341" t="s">
        <v>135</v>
      </c>
    </row>
    <row r="342" spans="1:7" x14ac:dyDescent="0.25">
      <c r="A342" t="s">
        <v>32</v>
      </c>
      <c r="B342" t="s">
        <v>38</v>
      </c>
      <c r="C342" t="s">
        <v>34</v>
      </c>
      <c r="D342" s="7">
        <v>45804</v>
      </c>
      <c r="E342" t="s">
        <v>63</v>
      </c>
      <c r="F342" s="8">
        <v>680047.62</v>
      </c>
      <c r="G342" t="s">
        <v>135</v>
      </c>
    </row>
    <row r="343" spans="1:7" x14ac:dyDescent="0.25">
      <c r="A343" t="s">
        <v>32</v>
      </c>
      <c r="B343" t="s">
        <v>33</v>
      </c>
      <c r="C343" t="s">
        <v>34</v>
      </c>
      <c r="D343" s="7">
        <v>45805</v>
      </c>
      <c r="E343" t="s">
        <v>106</v>
      </c>
      <c r="F343" s="8">
        <v>138096</v>
      </c>
      <c r="G343" t="s">
        <v>135</v>
      </c>
    </row>
    <row r="344" spans="1:7" x14ac:dyDescent="0.25">
      <c r="A344" t="s">
        <v>32</v>
      </c>
      <c r="B344" t="s">
        <v>38</v>
      </c>
      <c r="C344" t="s">
        <v>34</v>
      </c>
      <c r="D344" s="7">
        <v>45805</v>
      </c>
      <c r="E344" t="s">
        <v>89</v>
      </c>
      <c r="F344" s="8">
        <v>97810</v>
      </c>
      <c r="G344" t="s">
        <v>135</v>
      </c>
    </row>
    <row r="345" spans="1:7" x14ac:dyDescent="0.25">
      <c r="A345" t="s">
        <v>32</v>
      </c>
      <c r="B345" t="s">
        <v>38</v>
      </c>
      <c r="C345" t="s">
        <v>34</v>
      </c>
      <c r="D345" s="7">
        <v>45807</v>
      </c>
      <c r="E345" t="s">
        <v>142</v>
      </c>
      <c r="F345" s="8">
        <v>290476.19</v>
      </c>
      <c r="G345" t="s">
        <v>135</v>
      </c>
    </row>
    <row r="346" spans="1:7" x14ac:dyDescent="0.25">
      <c r="A346" t="s">
        <v>32</v>
      </c>
      <c r="B346" t="s">
        <v>38</v>
      </c>
      <c r="C346" t="s">
        <v>39</v>
      </c>
      <c r="D346" s="7">
        <v>45808</v>
      </c>
      <c r="E346" t="s">
        <v>129</v>
      </c>
      <c r="F346" s="8">
        <v>1380952.38</v>
      </c>
      <c r="G346" t="s">
        <v>135</v>
      </c>
    </row>
    <row r="347" spans="1:7" x14ac:dyDescent="0.25">
      <c r="A347" t="s">
        <v>32</v>
      </c>
      <c r="B347" t="s">
        <v>33</v>
      </c>
      <c r="C347" t="s">
        <v>34</v>
      </c>
      <c r="D347" s="7">
        <v>45815</v>
      </c>
      <c r="E347" t="s">
        <v>140</v>
      </c>
      <c r="F347" s="8">
        <v>18285.8</v>
      </c>
      <c r="G347" t="s">
        <v>135</v>
      </c>
    </row>
    <row r="348" spans="1:7" x14ac:dyDescent="0.25">
      <c r="A348" t="s">
        <v>32</v>
      </c>
      <c r="B348" t="s">
        <v>33</v>
      </c>
      <c r="C348" t="s">
        <v>34</v>
      </c>
      <c r="D348" s="7">
        <v>45819</v>
      </c>
      <c r="E348" t="s">
        <v>106</v>
      </c>
      <c r="F348" s="8">
        <v>150480</v>
      </c>
      <c r="G348" t="s">
        <v>135</v>
      </c>
    </row>
    <row r="349" spans="1:7" x14ac:dyDescent="0.25">
      <c r="A349" t="s">
        <v>32</v>
      </c>
      <c r="B349" t="s">
        <v>33</v>
      </c>
      <c r="C349" t="s">
        <v>34</v>
      </c>
      <c r="D349" s="7">
        <v>45822</v>
      </c>
      <c r="E349" t="s">
        <v>99</v>
      </c>
      <c r="F349" s="8">
        <v>1213842</v>
      </c>
      <c r="G349" t="s">
        <v>135</v>
      </c>
    </row>
    <row r="350" spans="1:7" x14ac:dyDescent="0.25">
      <c r="A350" t="s">
        <v>32</v>
      </c>
      <c r="B350" t="s">
        <v>33</v>
      </c>
      <c r="C350" t="s">
        <v>39</v>
      </c>
      <c r="D350" s="7">
        <v>45825</v>
      </c>
      <c r="E350" t="s">
        <v>100</v>
      </c>
      <c r="F350" s="8">
        <v>952340</v>
      </c>
      <c r="G350" t="s">
        <v>135</v>
      </c>
    </row>
    <row r="351" spans="1:7" x14ac:dyDescent="0.25">
      <c r="A351" t="s">
        <v>32</v>
      </c>
      <c r="B351" t="s">
        <v>33</v>
      </c>
      <c r="C351" t="s">
        <v>34</v>
      </c>
      <c r="D351" s="7">
        <v>45829</v>
      </c>
      <c r="E351" t="s">
        <v>105</v>
      </c>
      <c r="F351" s="8">
        <v>171666.67</v>
      </c>
      <c r="G351" t="s">
        <v>135</v>
      </c>
    </row>
    <row r="352" spans="1:7" x14ac:dyDescent="0.25">
      <c r="A352" t="s">
        <v>32</v>
      </c>
      <c r="B352" t="s">
        <v>33</v>
      </c>
      <c r="C352" t="s">
        <v>34</v>
      </c>
      <c r="D352" s="7">
        <v>45829</v>
      </c>
      <c r="E352" t="s">
        <v>131</v>
      </c>
      <c r="F352" s="8">
        <v>149336</v>
      </c>
      <c r="G352" t="s">
        <v>135</v>
      </c>
    </row>
    <row r="353" spans="1:7" x14ac:dyDescent="0.25">
      <c r="A353" t="s">
        <v>32</v>
      </c>
      <c r="B353" t="s">
        <v>33</v>
      </c>
      <c r="C353" t="s">
        <v>34</v>
      </c>
      <c r="D353" s="7">
        <v>45829</v>
      </c>
      <c r="E353" t="s">
        <v>105</v>
      </c>
      <c r="F353" s="8">
        <v>281920</v>
      </c>
      <c r="G353" t="s">
        <v>135</v>
      </c>
    </row>
    <row r="354" spans="1:7" x14ac:dyDescent="0.25">
      <c r="A354" t="s">
        <v>32</v>
      </c>
      <c r="B354" t="s">
        <v>33</v>
      </c>
      <c r="C354" t="s">
        <v>34</v>
      </c>
      <c r="D354" s="7">
        <v>45829</v>
      </c>
      <c r="E354" t="s">
        <v>143</v>
      </c>
      <c r="F354" s="8">
        <v>70950</v>
      </c>
      <c r="G354" t="s">
        <v>135</v>
      </c>
    </row>
    <row r="355" spans="1:7" x14ac:dyDescent="0.25">
      <c r="A355" t="s">
        <v>32</v>
      </c>
      <c r="B355" t="s">
        <v>38</v>
      </c>
      <c r="C355" t="s">
        <v>39</v>
      </c>
      <c r="D355" s="7">
        <v>45837</v>
      </c>
      <c r="E355" t="s">
        <v>139</v>
      </c>
      <c r="F355" s="8">
        <v>1379680</v>
      </c>
      <c r="G355" t="s">
        <v>135</v>
      </c>
    </row>
    <row r="356" spans="1:7" x14ac:dyDescent="0.25">
      <c r="A356" t="s">
        <v>32</v>
      </c>
      <c r="B356" t="s">
        <v>33</v>
      </c>
      <c r="C356" t="s">
        <v>34</v>
      </c>
      <c r="D356" s="7">
        <v>45839</v>
      </c>
      <c r="E356" t="s">
        <v>105</v>
      </c>
      <c r="F356" s="8">
        <v>362000.4</v>
      </c>
      <c r="G356" t="s">
        <v>135</v>
      </c>
    </row>
    <row r="357" spans="1:7" x14ac:dyDescent="0.25">
      <c r="A357" t="s">
        <v>32</v>
      </c>
      <c r="B357" t="s">
        <v>33</v>
      </c>
      <c r="C357" t="s">
        <v>34</v>
      </c>
      <c r="D357" s="7">
        <v>45846</v>
      </c>
      <c r="E357" t="s">
        <v>105</v>
      </c>
      <c r="F357" s="8">
        <v>371622</v>
      </c>
      <c r="G357" t="s">
        <v>135</v>
      </c>
    </row>
    <row r="358" spans="1:7" x14ac:dyDescent="0.25">
      <c r="A358" t="s">
        <v>32</v>
      </c>
      <c r="B358" t="s">
        <v>38</v>
      </c>
      <c r="C358" t="s">
        <v>39</v>
      </c>
      <c r="D358" s="7">
        <v>45848</v>
      </c>
      <c r="E358" t="s">
        <v>144</v>
      </c>
      <c r="F358" s="8">
        <v>1600248</v>
      </c>
      <c r="G358" t="s">
        <v>135</v>
      </c>
    </row>
    <row r="359" spans="1:7" x14ac:dyDescent="0.25">
      <c r="A359" t="s">
        <v>32</v>
      </c>
      <c r="B359" t="s">
        <v>38</v>
      </c>
      <c r="C359" t="s">
        <v>39</v>
      </c>
      <c r="D359" s="7">
        <v>45850</v>
      </c>
      <c r="E359" t="s">
        <v>145</v>
      </c>
      <c r="F359" s="8">
        <v>336648</v>
      </c>
      <c r="G359" t="s">
        <v>135</v>
      </c>
    </row>
    <row r="360" spans="1:7" x14ac:dyDescent="0.25">
      <c r="A360" t="s">
        <v>32</v>
      </c>
      <c r="B360" t="s">
        <v>38</v>
      </c>
      <c r="C360" t="s">
        <v>39</v>
      </c>
      <c r="D360" s="7">
        <v>45850</v>
      </c>
      <c r="E360" t="s">
        <v>84</v>
      </c>
      <c r="F360" s="8">
        <v>952380.3</v>
      </c>
      <c r="G360" t="s">
        <v>135</v>
      </c>
    </row>
    <row r="361" spans="1:7" x14ac:dyDescent="0.25">
      <c r="A361" t="s">
        <v>32</v>
      </c>
      <c r="B361" t="s">
        <v>33</v>
      </c>
      <c r="C361" t="s">
        <v>34</v>
      </c>
      <c r="D361" s="7">
        <v>45852</v>
      </c>
      <c r="E361" t="s">
        <v>123</v>
      </c>
      <c r="F361" s="8">
        <v>179775</v>
      </c>
      <c r="G361" t="s">
        <v>135</v>
      </c>
    </row>
    <row r="362" spans="1:7" x14ac:dyDescent="0.25">
      <c r="A362" t="s">
        <v>32</v>
      </c>
      <c r="B362" t="s">
        <v>33</v>
      </c>
      <c r="C362" t="s">
        <v>34</v>
      </c>
      <c r="D362" s="7">
        <v>45852</v>
      </c>
      <c r="E362" t="s">
        <v>105</v>
      </c>
      <c r="F362" s="8">
        <v>245520</v>
      </c>
      <c r="G362" t="s">
        <v>135</v>
      </c>
    </row>
    <row r="363" spans="1:7" x14ac:dyDescent="0.25">
      <c r="A363" t="s">
        <v>32</v>
      </c>
      <c r="B363" t="s">
        <v>33</v>
      </c>
      <c r="C363" t="s">
        <v>34</v>
      </c>
      <c r="D363" s="7">
        <v>45855</v>
      </c>
      <c r="E363" t="s">
        <v>48</v>
      </c>
      <c r="F363" s="8">
        <v>348666.5</v>
      </c>
      <c r="G363" t="s">
        <v>135</v>
      </c>
    </row>
    <row r="364" spans="1:7" x14ac:dyDescent="0.25">
      <c r="A364" t="s">
        <v>32</v>
      </c>
      <c r="B364" t="s">
        <v>33</v>
      </c>
      <c r="C364" t="s">
        <v>34</v>
      </c>
      <c r="D364" s="7">
        <v>45864</v>
      </c>
      <c r="E364" t="s">
        <v>99</v>
      </c>
      <c r="F364" s="8">
        <v>973817</v>
      </c>
      <c r="G364" t="s">
        <v>135</v>
      </c>
    </row>
    <row r="365" spans="1:7" x14ac:dyDescent="0.25">
      <c r="A365" t="s">
        <v>32</v>
      </c>
      <c r="B365" t="s">
        <v>33</v>
      </c>
      <c r="C365" t="s">
        <v>34</v>
      </c>
      <c r="D365" s="7">
        <v>45869</v>
      </c>
      <c r="E365" t="s">
        <v>69</v>
      </c>
      <c r="F365" s="8">
        <v>294763</v>
      </c>
      <c r="G365" t="s">
        <v>135</v>
      </c>
    </row>
    <row r="366" spans="1:7" x14ac:dyDescent="0.25">
      <c r="A366" t="s">
        <v>32</v>
      </c>
      <c r="B366" t="s">
        <v>33</v>
      </c>
      <c r="C366" t="s">
        <v>34</v>
      </c>
      <c r="D366" s="7">
        <v>45873</v>
      </c>
      <c r="E366" t="s">
        <v>131</v>
      </c>
      <c r="F366" s="8">
        <v>101429</v>
      </c>
      <c r="G366" t="s">
        <v>135</v>
      </c>
    </row>
    <row r="367" spans="1:7" x14ac:dyDescent="0.25">
      <c r="A367" t="s">
        <v>32</v>
      </c>
      <c r="B367" t="s">
        <v>33</v>
      </c>
      <c r="C367" t="s">
        <v>39</v>
      </c>
      <c r="D367" s="7">
        <v>45876</v>
      </c>
      <c r="E367" t="s">
        <v>122</v>
      </c>
      <c r="F367" s="8">
        <v>1169500</v>
      </c>
      <c r="G367" t="s">
        <v>135</v>
      </c>
    </row>
    <row r="368" spans="1:7" x14ac:dyDescent="0.25">
      <c r="A368" t="s">
        <v>32</v>
      </c>
      <c r="B368" t="s">
        <v>33</v>
      </c>
      <c r="C368" t="s">
        <v>34</v>
      </c>
      <c r="D368" s="7">
        <v>45876</v>
      </c>
      <c r="E368" t="s">
        <v>123</v>
      </c>
      <c r="F368" s="8">
        <v>215714.5</v>
      </c>
      <c r="G368" t="s">
        <v>135</v>
      </c>
    </row>
    <row r="369" spans="1:7" x14ac:dyDescent="0.25">
      <c r="A369" t="s">
        <v>32</v>
      </c>
      <c r="B369" t="s">
        <v>33</v>
      </c>
      <c r="C369" t="s">
        <v>34</v>
      </c>
      <c r="D369" s="7">
        <v>45876</v>
      </c>
      <c r="E369" t="s">
        <v>105</v>
      </c>
      <c r="F369" s="8">
        <v>130952.5</v>
      </c>
      <c r="G369" t="s">
        <v>135</v>
      </c>
    </row>
    <row r="370" spans="1:7" x14ac:dyDescent="0.25">
      <c r="A370" t="s">
        <v>32</v>
      </c>
      <c r="B370" t="s">
        <v>38</v>
      </c>
      <c r="C370" t="s">
        <v>39</v>
      </c>
      <c r="D370" s="7">
        <v>45876</v>
      </c>
      <c r="E370" t="s">
        <v>58</v>
      </c>
      <c r="F370" s="8">
        <v>438095.24</v>
      </c>
      <c r="G370" t="s">
        <v>135</v>
      </c>
    </row>
    <row r="371" spans="1:7" x14ac:dyDescent="0.25">
      <c r="A371" t="s">
        <v>32</v>
      </c>
      <c r="B371" t="s">
        <v>33</v>
      </c>
      <c r="C371" t="s">
        <v>34</v>
      </c>
      <c r="D371" s="7">
        <v>45881</v>
      </c>
      <c r="E371" t="s">
        <v>140</v>
      </c>
      <c r="F371" s="8">
        <v>26000</v>
      </c>
      <c r="G371" t="s">
        <v>135</v>
      </c>
    </row>
    <row r="372" spans="1:7" x14ac:dyDescent="0.25">
      <c r="A372" t="s">
        <v>32</v>
      </c>
      <c r="B372" t="s">
        <v>33</v>
      </c>
      <c r="C372" t="s">
        <v>34</v>
      </c>
      <c r="D372" s="7">
        <v>45890</v>
      </c>
      <c r="E372" t="s">
        <v>146</v>
      </c>
      <c r="F372" s="8">
        <v>84762.1</v>
      </c>
      <c r="G372" t="s">
        <v>135</v>
      </c>
    </row>
    <row r="373" spans="1:7" x14ac:dyDescent="0.25">
      <c r="A373" t="s">
        <v>32</v>
      </c>
      <c r="B373" t="s">
        <v>38</v>
      </c>
      <c r="C373" t="s">
        <v>39</v>
      </c>
      <c r="D373" s="7">
        <v>45890</v>
      </c>
      <c r="E373" t="s">
        <v>144</v>
      </c>
      <c r="F373" s="8">
        <v>1071440</v>
      </c>
      <c r="G373" t="s">
        <v>135</v>
      </c>
    </row>
    <row r="374" spans="1:7" x14ac:dyDescent="0.25">
      <c r="A374" t="s">
        <v>32</v>
      </c>
      <c r="B374" t="s">
        <v>33</v>
      </c>
      <c r="C374" t="s">
        <v>34</v>
      </c>
      <c r="D374" s="7">
        <v>45895</v>
      </c>
      <c r="E374" t="s">
        <v>123</v>
      </c>
      <c r="F374" s="8">
        <v>384095.25</v>
      </c>
      <c r="G374" t="s">
        <v>135</v>
      </c>
    </row>
    <row r="375" spans="1:7" x14ac:dyDescent="0.25">
      <c r="A375" t="s">
        <v>32</v>
      </c>
      <c r="B375" t="s">
        <v>33</v>
      </c>
      <c r="C375" t="s">
        <v>34</v>
      </c>
      <c r="D375" s="7">
        <v>45896</v>
      </c>
      <c r="E375" t="s">
        <v>134</v>
      </c>
      <c r="F375" s="8">
        <v>284762</v>
      </c>
      <c r="G375" t="s">
        <v>135</v>
      </c>
    </row>
    <row r="376" spans="1:7" x14ac:dyDescent="0.25">
      <c r="A376" t="s">
        <v>32</v>
      </c>
      <c r="B376" t="s">
        <v>38</v>
      </c>
      <c r="C376" t="s">
        <v>39</v>
      </c>
      <c r="D376" s="7">
        <v>45897</v>
      </c>
      <c r="E376" t="s">
        <v>147</v>
      </c>
      <c r="F376" s="8">
        <v>3428654.81</v>
      </c>
      <c r="G376" t="s">
        <v>135</v>
      </c>
    </row>
    <row r="377" spans="1:7" x14ac:dyDescent="0.25">
      <c r="A377" t="s">
        <v>32</v>
      </c>
      <c r="B377" t="s">
        <v>33</v>
      </c>
      <c r="C377" t="s">
        <v>34</v>
      </c>
      <c r="D377" s="7">
        <v>45905</v>
      </c>
      <c r="E377" t="s">
        <v>148</v>
      </c>
      <c r="F377" s="8">
        <v>190476.19</v>
      </c>
      <c r="G377" t="s">
        <v>135</v>
      </c>
    </row>
    <row r="378" spans="1:7" x14ac:dyDescent="0.25">
      <c r="A378" t="s">
        <v>32</v>
      </c>
      <c r="B378" t="s">
        <v>33</v>
      </c>
      <c r="C378" t="s">
        <v>34</v>
      </c>
      <c r="D378" s="7">
        <v>45908</v>
      </c>
      <c r="E378" t="s">
        <v>149</v>
      </c>
      <c r="F378" s="8">
        <v>569047.61</v>
      </c>
      <c r="G378" t="s">
        <v>135</v>
      </c>
    </row>
    <row r="379" spans="1:7" x14ac:dyDescent="0.25">
      <c r="A379" t="s">
        <v>32</v>
      </c>
      <c r="B379" t="s">
        <v>33</v>
      </c>
      <c r="C379" t="s">
        <v>34</v>
      </c>
      <c r="D379" s="7">
        <v>45909</v>
      </c>
      <c r="E379" t="s">
        <v>140</v>
      </c>
      <c r="F379" s="8">
        <v>49142.9</v>
      </c>
      <c r="G379" t="s">
        <v>135</v>
      </c>
    </row>
    <row r="380" spans="1:7" x14ac:dyDescent="0.25">
      <c r="A380" t="s">
        <v>32</v>
      </c>
      <c r="B380" t="s">
        <v>33</v>
      </c>
      <c r="C380" t="s">
        <v>34</v>
      </c>
      <c r="D380" s="7">
        <v>45909</v>
      </c>
      <c r="E380" t="s">
        <v>140</v>
      </c>
      <c r="F380" s="8">
        <v>48809.599999999999</v>
      </c>
      <c r="G380" t="s">
        <v>135</v>
      </c>
    </row>
    <row r="381" spans="1:7" x14ac:dyDescent="0.25">
      <c r="A381" t="s">
        <v>32</v>
      </c>
      <c r="B381" t="s">
        <v>33</v>
      </c>
      <c r="C381" t="s">
        <v>34</v>
      </c>
      <c r="D381" s="7">
        <v>45910</v>
      </c>
      <c r="E381" t="s">
        <v>105</v>
      </c>
      <c r="F381" s="8">
        <v>550952.4</v>
      </c>
      <c r="G381" t="s">
        <v>135</v>
      </c>
    </row>
    <row r="382" spans="1:7" x14ac:dyDescent="0.25">
      <c r="A382" t="s">
        <v>32</v>
      </c>
      <c r="B382" t="s">
        <v>33</v>
      </c>
      <c r="C382" t="s">
        <v>34</v>
      </c>
      <c r="D382" s="7">
        <v>45912</v>
      </c>
      <c r="E382" t="s">
        <v>105</v>
      </c>
      <c r="F382" s="8">
        <v>369047.62</v>
      </c>
      <c r="G382" t="s">
        <v>135</v>
      </c>
    </row>
    <row r="383" spans="1:7" x14ac:dyDescent="0.25">
      <c r="A383" t="s">
        <v>32</v>
      </c>
      <c r="B383" t="s">
        <v>33</v>
      </c>
      <c r="C383" t="s">
        <v>34</v>
      </c>
      <c r="D383" s="7">
        <v>45918</v>
      </c>
      <c r="E383" t="s">
        <v>108</v>
      </c>
      <c r="F383" s="8">
        <v>412571.8</v>
      </c>
      <c r="G383" t="s">
        <v>135</v>
      </c>
    </row>
    <row r="384" spans="1:7" x14ac:dyDescent="0.25">
      <c r="A384" t="s">
        <v>32</v>
      </c>
      <c r="B384" t="s">
        <v>33</v>
      </c>
      <c r="C384" t="s">
        <v>34</v>
      </c>
      <c r="D384" s="7">
        <v>45922</v>
      </c>
      <c r="E384" t="s">
        <v>106</v>
      </c>
      <c r="F384" s="8">
        <v>149285.70000000001</v>
      </c>
      <c r="G384" t="s">
        <v>135</v>
      </c>
    </row>
    <row r="385" spans="1:7" x14ac:dyDescent="0.25">
      <c r="A385" t="s">
        <v>32</v>
      </c>
      <c r="B385" t="s">
        <v>33</v>
      </c>
      <c r="C385" t="s">
        <v>34</v>
      </c>
      <c r="D385" s="7">
        <v>45922</v>
      </c>
      <c r="E385" t="s">
        <v>145</v>
      </c>
      <c r="F385" s="8">
        <v>399990.64</v>
      </c>
      <c r="G385" t="s">
        <v>135</v>
      </c>
    </row>
    <row r="386" spans="1:7" x14ac:dyDescent="0.25">
      <c r="A386" t="s">
        <v>32</v>
      </c>
      <c r="B386" t="s">
        <v>38</v>
      </c>
      <c r="C386" t="s">
        <v>34</v>
      </c>
      <c r="D386" s="7">
        <v>45922</v>
      </c>
      <c r="E386" t="s">
        <v>150</v>
      </c>
      <c r="F386" s="8">
        <v>51900</v>
      </c>
      <c r="G386" t="s">
        <v>135</v>
      </c>
    </row>
    <row r="387" spans="1:7" x14ac:dyDescent="0.25">
      <c r="A387" t="s">
        <v>32</v>
      </c>
      <c r="B387" t="s">
        <v>33</v>
      </c>
      <c r="C387" t="s">
        <v>34</v>
      </c>
      <c r="D387" s="7">
        <v>45924</v>
      </c>
      <c r="E387" t="s">
        <v>151</v>
      </c>
      <c r="F387" s="8">
        <v>174190.47</v>
      </c>
      <c r="G387" t="s">
        <v>135</v>
      </c>
    </row>
    <row r="388" spans="1:7" x14ac:dyDescent="0.25">
      <c r="A388" t="s">
        <v>32</v>
      </c>
      <c r="B388" t="s">
        <v>33</v>
      </c>
      <c r="C388" t="s">
        <v>34</v>
      </c>
      <c r="D388" s="7">
        <v>45927</v>
      </c>
      <c r="E388" t="s">
        <v>113</v>
      </c>
      <c r="F388" s="8">
        <v>538095.24</v>
      </c>
      <c r="G388" t="s">
        <v>135</v>
      </c>
    </row>
    <row r="389" spans="1:7" x14ac:dyDescent="0.25">
      <c r="A389" t="s">
        <v>32</v>
      </c>
      <c r="B389" t="s">
        <v>33</v>
      </c>
      <c r="C389" t="s">
        <v>34</v>
      </c>
      <c r="D389" s="7">
        <v>45928</v>
      </c>
      <c r="E389" t="s">
        <v>105</v>
      </c>
      <c r="F389" s="8">
        <v>221666.9</v>
      </c>
      <c r="G389" t="s">
        <v>135</v>
      </c>
    </row>
    <row r="390" spans="1:7" x14ac:dyDescent="0.25">
      <c r="A390" t="s">
        <v>32</v>
      </c>
      <c r="B390" t="s">
        <v>33</v>
      </c>
      <c r="C390" t="s">
        <v>34</v>
      </c>
      <c r="D390" s="7">
        <v>45933</v>
      </c>
      <c r="E390" t="s">
        <v>131</v>
      </c>
      <c r="F390" s="8">
        <v>189046</v>
      </c>
      <c r="G390" t="s">
        <v>135</v>
      </c>
    </row>
    <row r="391" spans="1:7" x14ac:dyDescent="0.25">
      <c r="A391" t="s">
        <v>32</v>
      </c>
      <c r="B391" t="s">
        <v>38</v>
      </c>
      <c r="C391" t="s">
        <v>39</v>
      </c>
      <c r="D391" s="7">
        <v>45936</v>
      </c>
      <c r="E391" t="s">
        <v>152</v>
      </c>
      <c r="F391" s="8">
        <v>1051871.5</v>
      </c>
      <c r="G391" t="s">
        <v>135</v>
      </c>
    </row>
    <row r="392" spans="1:7" x14ac:dyDescent="0.25">
      <c r="A392" t="s">
        <v>32</v>
      </c>
      <c r="B392" t="s">
        <v>33</v>
      </c>
      <c r="C392" t="s">
        <v>34</v>
      </c>
      <c r="D392" s="7">
        <v>45939</v>
      </c>
      <c r="E392" t="s">
        <v>105</v>
      </c>
      <c r="F392" s="8">
        <v>219809.66</v>
      </c>
      <c r="G392" t="s">
        <v>135</v>
      </c>
    </row>
    <row r="393" spans="1:7" x14ac:dyDescent="0.25">
      <c r="A393" t="s">
        <v>32</v>
      </c>
      <c r="B393" t="s">
        <v>33</v>
      </c>
      <c r="C393" t="s">
        <v>34</v>
      </c>
      <c r="D393" s="7">
        <v>45943</v>
      </c>
      <c r="E393" t="s">
        <v>113</v>
      </c>
      <c r="F393" s="8">
        <v>507142.9</v>
      </c>
      <c r="G393" t="s">
        <v>135</v>
      </c>
    </row>
    <row r="394" spans="1:7" x14ac:dyDescent="0.25">
      <c r="A394" t="s">
        <v>32</v>
      </c>
      <c r="B394" t="s">
        <v>33</v>
      </c>
      <c r="C394" t="s">
        <v>34</v>
      </c>
      <c r="D394" s="7">
        <v>45944</v>
      </c>
      <c r="E394" t="s">
        <v>108</v>
      </c>
      <c r="F394" s="8">
        <v>460460</v>
      </c>
      <c r="G394" t="s">
        <v>135</v>
      </c>
    </row>
    <row r="395" spans="1:7" x14ac:dyDescent="0.25">
      <c r="A395" t="s">
        <v>32</v>
      </c>
      <c r="B395" t="s">
        <v>38</v>
      </c>
      <c r="C395" t="s">
        <v>39</v>
      </c>
      <c r="D395" s="7">
        <v>45947</v>
      </c>
      <c r="E395" t="s">
        <v>144</v>
      </c>
      <c r="F395" s="8">
        <v>473212.59</v>
      </c>
      <c r="G395" t="s">
        <v>135</v>
      </c>
    </row>
    <row r="396" spans="1:7" x14ac:dyDescent="0.25">
      <c r="A396" t="s">
        <v>32</v>
      </c>
      <c r="B396" t="s">
        <v>38</v>
      </c>
      <c r="C396" t="s">
        <v>34</v>
      </c>
      <c r="D396" s="7">
        <v>45965</v>
      </c>
      <c r="E396" t="s">
        <v>112</v>
      </c>
      <c r="F396" s="8">
        <v>247620</v>
      </c>
      <c r="G396" t="s">
        <v>135</v>
      </c>
    </row>
    <row r="397" spans="1:7" x14ac:dyDescent="0.25">
      <c r="A397" t="s">
        <v>32</v>
      </c>
      <c r="B397" t="s">
        <v>33</v>
      </c>
      <c r="C397" t="s">
        <v>34</v>
      </c>
      <c r="D397" s="7">
        <v>45968</v>
      </c>
      <c r="E397" t="s">
        <v>131</v>
      </c>
      <c r="F397" s="8">
        <v>73330</v>
      </c>
      <c r="G397" t="s">
        <v>135</v>
      </c>
    </row>
    <row r="398" spans="1:7" x14ac:dyDescent="0.25">
      <c r="A398" t="s">
        <v>32</v>
      </c>
      <c r="B398" t="s">
        <v>33</v>
      </c>
      <c r="C398" t="s">
        <v>34</v>
      </c>
      <c r="D398" s="7">
        <v>45972</v>
      </c>
      <c r="E398" t="s">
        <v>153</v>
      </c>
      <c r="F398" s="8">
        <v>74762</v>
      </c>
      <c r="G398" t="s">
        <v>135</v>
      </c>
    </row>
    <row r="399" spans="1:7" x14ac:dyDescent="0.25">
      <c r="A399" t="s">
        <v>32</v>
      </c>
      <c r="B399" t="s">
        <v>33</v>
      </c>
      <c r="C399" t="s">
        <v>34</v>
      </c>
      <c r="D399" s="7">
        <v>45980</v>
      </c>
      <c r="E399" t="s">
        <v>99</v>
      </c>
      <c r="F399" s="8">
        <v>1798191.6</v>
      </c>
      <c r="G399" t="s">
        <v>135</v>
      </c>
    </row>
    <row r="400" spans="1:7" x14ac:dyDescent="0.25">
      <c r="A400" t="s">
        <v>32</v>
      </c>
      <c r="B400" t="s">
        <v>33</v>
      </c>
      <c r="C400" t="s">
        <v>34</v>
      </c>
      <c r="D400" s="7">
        <v>45986</v>
      </c>
      <c r="E400" t="s">
        <v>132</v>
      </c>
      <c r="F400" s="8">
        <v>1041428.56</v>
      </c>
      <c r="G400" t="s">
        <v>135</v>
      </c>
    </row>
    <row r="401" spans="1:7" x14ac:dyDescent="0.25">
      <c r="A401" t="s">
        <v>32</v>
      </c>
      <c r="B401" t="s">
        <v>33</v>
      </c>
      <c r="C401" t="s">
        <v>34</v>
      </c>
      <c r="D401" s="7">
        <v>45999</v>
      </c>
      <c r="E401" t="s">
        <v>131</v>
      </c>
      <c r="F401" s="8">
        <v>143953.20000000001</v>
      </c>
      <c r="G401" t="s">
        <v>135</v>
      </c>
    </row>
    <row r="402" spans="1:7" x14ac:dyDescent="0.25">
      <c r="A402" t="s">
        <v>32</v>
      </c>
      <c r="B402" t="s">
        <v>33</v>
      </c>
      <c r="C402" t="s">
        <v>34</v>
      </c>
      <c r="D402" s="7">
        <v>46006</v>
      </c>
      <c r="E402" t="s">
        <v>106</v>
      </c>
      <c r="F402" s="8">
        <v>140667</v>
      </c>
      <c r="G402" t="s">
        <v>135</v>
      </c>
    </row>
    <row r="403" spans="1:7" x14ac:dyDescent="0.25">
      <c r="A403" t="s">
        <v>32</v>
      </c>
      <c r="B403" t="s">
        <v>33</v>
      </c>
      <c r="C403" t="s">
        <v>34</v>
      </c>
      <c r="D403" s="7">
        <v>46014</v>
      </c>
      <c r="E403" t="s">
        <v>154</v>
      </c>
      <c r="F403" s="8">
        <v>320665</v>
      </c>
      <c r="G403" t="s">
        <v>135</v>
      </c>
    </row>
    <row r="404" spans="1:7" x14ac:dyDescent="0.25">
      <c r="A404" t="s">
        <v>32</v>
      </c>
      <c r="B404" t="s">
        <v>38</v>
      </c>
      <c r="C404" t="s">
        <v>34</v>
      </c>
      <c r="D404" s="7">
        <v>46020</v>
      </c>
      <c r="E404" t="s">
        <v>122</v>
      </c>
      <c r="F404" s="8">
        <v>285714</v>
      </c>
      <c r="G404" t="s">
        <v>135</v>
      </c>
    </row>
    <row r="405" spans="1:7" x14ac:dyDescent="0.25">
      <c r="A405" t="s">
        <v>32</v>
      </c>
      <c r="B405" t="s">
        <v>33</v>
      </c>
      <c r="C405" t="s">
        <v>34</v>
      </c>
      <c r="D405" s="7">
        <v>46022</v>
      </c>
      <c r="E405" t="s">
        <v>153</v>
      </c>
      <c r="F405" s="8">
        <v>77085.72</v>
      </c>
      <c r="G405" t="s">
        <v>135</v>
      </c>
    </row>
    <row r="406" spans="1:7" x14ac:dyDescent="0.25">
      <c r="A406" t="s">
        <v>32</v>
      </c>
      <c r="B406" t="s">
        <v>38</v>
      </c>
      <c r="C406" t="s">
        <v>39</v>
      </c>
      <c r="D406" s="7">
        <v>46022</v>
      </c>
      <c r="E406" t="s">
        <v>129</v>
      </c>
      <c r="F406" s="8">
        <v>661904.76</v>
      </c>
      <c r="G406" t="s">
        <v>135</v>
      </c>
    </row>
    <row r="407" spans="1:7" x14ac:dyDescent="0.25">
      <c r="A407" t="s">
        <v>32</v>
      </c>
      <c r="B407" t="s">
        <v>33</v>
      </c>
      <c r="C407" t="s">
        <v>34</v>
      </c>
      <c r="D407" s="7">
        <v>46030</v>
      </c>
      <c r="E407" t="s">
        <v>155</v>
      </c>
      <c r="F407" s="8">
        <v>221429</v>
      </c>
      <c r="G407" t="s">
        <v>135</v>
      </c>
    </row>
    <row r="408" spans="1:7" x14ac:dyDescent="0.25">
      <c r="A408" t="s">
        <v>32</v>
      </c>
      <c r="B408" t="s">
        <v>33</v>
      </c>
      <c r="C408" t="s">
        <v>34</v>
      </c>
      <c r="D408" s="7">
        <v>46032</v>
      </c>
      <c r="E408" t="s">
        <v>105</v>
      </c>
      <c r="F408" s="8">
        <v>274857.2</v>
      </c>
      <c r="G408" t="s">
        <v>135</v>
      </c>
    </row>
    <row r="409" spans="1:7" x14ac:dyDescent="0.25">
      <c r="A409" t="s">
        <v>32</v>
      </c>
      <c r="B409" t="s">
        <v>33</v>
      </c>
      <c r="C409" t="s">
        <v>34</v>
      </c>
      <c r="D409" s="7">
        <v>46041</v>
      </c>
      <c r="E409" t="s">
        <v>156</v>
      </c>
      <c r="F409" s="8">
        <v>572857.19999999995</v>
      </c>
      <c r="G409" t="s">
        <v>135</v>
      </c>
    </row>
    <row r="410" spans="1:7" x14ac:dyDescent="0.25">
      <c r="A410" t="s">
        <v>32</v>
      </c>
      <c r="B410" t="s">
        <v>33</v>
      </c>
      <c r="C410" t="s">
        <v>34</v>
      </c>
      <c r="D410" s="7">
        <v>46043</v>
      </c>
      <c r="E410" t="s">
        <v>132</v>
      </c>
      <c r="F410" s="8">
        <v>916250</v>
      </c>
      <c r="G410" t="s">
        <v>135</v>
      </c>
    </row>
    <row r="411" spans="1:7" x14ac:dyDescent="0.25">
      <c r="A411" t="s">
        <v>32</v>
      </c>
      <c r="B411" t="s">
        <v>38</v>
      </c>
      <c r="C411" t="s">
        <v>39</v>
      </c>
      <c r="D411" s="7">
        <v>46043</v>
      </c>
      <c r="E411" t="s">
        <v>157</v>
      </c>
      <c r="F411" s="8">
        <v>4417662.8899999997</v>
      </c>
      <c r="G411" t="s">
        <v>135</v>
      </c>
    </row>
    <row r="412" spans="1:7" x14ac:dyDescent="0.25">
      <c r="A412" t="s">
        <v>32</v>
      </c>
      <c r="B412" t="s">
        <v>33</v>
      </c>
      <c r="C412" t="s">
        <v>34</v>
      </c>
      <c r="D412" s="7">
        <v>46051</v>
      </c>
      <c r="E412" t="s">
        <v>156</v>
      </c>
      <c r="F412" s="8">
        <v>254429</v>
      </c>
      <c r="G412" t="s">
        <v>135</v>
      </c>
    </row>
    <row r="413" spans="1:7" x14ac:dyDescent="0.25">
      <c r="A413" t="s">
        <v>32</v>
      </c>
      <c r="B413" t="s">
        <v>38</v>
      </c>
      <c r="C413" t="s">
        <v>39</v>
      </c>
      <c r="D413" s="7">
        <v>46062</v>
      </c>
      <c r="E413" t="s">
        <v>158</v>
      </c>
      <c r="F413" s="8">
        <v>566666.66</v>
      </c>
      <c r="G413" t="s">
        <v>135</v>
      </c>
    </row>
    <row r="414" spans="1:7" x14ac:dyDescent="0.25">
      <c r="A414" t="s">
        <v>32</v>
      </c>
      <c r="B414" t="s">
        <v>33</v>
      </c>
      <c r="C414" t="s">
        <v>34</v>
      </c>
      <c r="D414" s="7">
        <v>46063</v>
      </c>
      <c r="E414" t="s">
        <v>156</v>
      </c>
      <c r="F414" s="8">
        <v>770857.14</v>
      </c>
      <c r="G414" t="s">
        <v>135</v>
      </c>
    </row>
    <row r="415" spans="1:7" x14ac:dyDescent="0.25">
      <c r="A415" t="s">
        <v>159</v>
      </c>
      <c r="B415" t="s">
        <v>33</v>
      </c>
      <c r="C415" t="s">
        <v>34</v>
      </c>
      <c r="D415" s="7">
        <v>44658</v>
      </c>
      <c r="E415" t="s">
        <v>99</v>
      </c>
      <c r="F415" s="8">
        <v>860769</v>
      </c>
      <c r="G415" t="s">
        <v>36</v>
      </c>
    </row>
    <row r="416" spans="1:7" x14ac:dyDescent="0.25">
      <c r="A416" t="s">
        <v>159</v>
      </c>
      <c r="B416" t="s">
        <v>33</v>
      </c>
      <c r="C416" t="s">
        <v>34</v>
      </c>
      <c r="D416" s="7">
        <v>44671</v>
      </c>
      <c r="E416" t="s">
        <v>99</v>
      </c>
      <c r="F416" s="8">
        <v>1122115</v>
      </c>
      <c r="G416" t="s">
        <v>36</v>
      </c>
    </row>
    <row r="417" spans="1:7" x14ac:dyDescent="0.25">
      <c r="A417" t="s">
        <v>159</v>
      </c>
      <c r="B417" t="s">
        <v>38</v>
      </c>
      <c r="C417" t="s">
        <v>39</v>
      </c>
      <c r="D417" s="7">
        <v>44676</v>
      </c>
      <c r="E417" t="s">
        <v>160</v>
      </c>
      <c r="F417" s="8">
        <v>438095.24</v>
      </c>
      <c r="G417" t="s">
        <v>36</v>
      </c>
    </row>
    <row r="418" spans="1:7" x14ac:dyDescent="0.25">
      <c r="A418" t="s">
        <v>159</v>
      </c>
      <c r="B418" t="s">
        <v>38</v>
      </c>
      <c r="C418" t="s">
        <v>39</v>
      </c>
      <c r="D418" s="7">
        <v>44678</v>
      </c>
      <c r="E418" t="s">
        <v>55</v>
      </c>
      <c r="F418" s="8">
        <v>2770607.64</v>
      </c>
      <c r="G418" t="s">
        <v>36</v>
      </c>
    </row>
    <row r="419" spans="1:7" x14ac:dyDescent="0.25">
      <c r="A419" t="s">
        <v>159</v>
      </c>
      <c r="B419" t="s">
        <v>38</v>
      </c>
      <c r="C419" t="s">
        <v>39</v>
      </c>
      <c r="D419" s="7">
        <v>44678</v>
      </c>
      <c r="E419" t="s">
        <v>55</v>
      </c>
      <c r="F419" s="8">
        <v>3420771.96</v>
      </c>
      <c r="G419" t="s">
        <v>36</v>
      </c>
    </row>
    <row r="420" spans="1:7" x14ac:dyDescent="0.25">
      <c r="A420" t="s">
        <v>159</v>
      </c>
      <c r="B420" t="s">
        <v>38</v>
      </c>
      <c r="C420" t="s">
        <v>39</v>
      </c>
      <c r="D420" s="7">
        <v>44678</v>
      </c>
      <c r="E420" t="s">
        <v>55</v>
      </c>
      <c r="F420" s="8">
        <v>251799.86</v>
      </c>
      <c r="G420" t="s">
        <v>36</v>
      </c>
    </row>
    <row r="421" spans="1:7" x14ac:dyDescent="0.25">
      <c r="A421" t="s">
        <v>159</v>
      </c>
      <c r="B421" t="s">
        <v>38</v>
      </c>
      <c r="C421" t="s">
        <v>39</v>
      </c>
      <c r="D421" s="7">
        <v>44678</v>
      </c>
      <c r="E421" t="s">
        <v>55</v>
      </c>
      <c r="F421" s="8">
        <v>2966187.64</v>
      </c>
      <c r="G421" t="s">
        <v>36</v>
      </c>
    </row>
    <row r="422" spans="1:7" x14ac:dyDescent="0.25">
      <c r="A422" t="s">
        <v>159</v>
      </c>
      <c r="B422" t="s">
        <v>38</v>
      </c>
      <c r="C422" t="s">
        <v>39</v>
      </c>
      <c r="D422" s="7">
        <v>44678</v>
      </c>
      <c r="E422" t="s">
        <v>55</v>
      </c>
      <c r="F422" s="8">
        <v>2840995.8</v>
      </c>
      <c r="G422" t="s">
        <v>36</v>
      </c>
    </row>
    <row r="423" spans="1:7" x14ac:dyDescent="0.25">
      <c r="A423" t="s">
        <v>159</v>
      </c>
      <c r="B423" t="s">
        <v>38</v>
      </c>
      <c r="C423" t="s">
        <v>39</v>
      </c>
      <c r="D423" s="7">
        <v>44687</v>
      </c>
      <c r="E423" t="s">
        <v>56</v>
      </c>
      <c r="F423" s="8">
        <v>468914</v>
      </c>
      <c r="G423" t="s">
        <v>36</v>
      </c>
    </row>
    <row r="424" spans="1:7" x14ac:dyDescent="0.25">
      <c r="A424" t="s">
        <v>159</v>
      </c>
      <c r="B424" t="s">
        <v>33</v>
      </c>
      <c r="C424" t="s">
        <v>34</v>
      </c>
      <c r="D424" s="7">
        <v>44690</v>
      </c>
      <c r="E424" t="s">
        <v>99</v>
      </c>
      <c r="F424" s="8">
        <v>780618</v>
      </c>
      <c r="G424" t="s">
        <v>36</v>
      </c>
    </row>
    <row r="425" spans="1:7" x14ac:dyDescent="0.25">
      <c r="A425" t="s">
        <v>159</v>
      </c>
      <c r="B425" t="s">
        <v>38</v>
      </c>
      <c r="C425" t="s">
        <v>39</v>
      </c>
      <c r="D425" s="7">
        <v>44691</v>
      </c>
      <c r="E425" t="s">
        <v>161</v>
      </c>
      <c r="F425" s="8">
        <v>14578</v>
      </c>
      <c r="G425" t="s">
        <v>36</v>
      </c>
    </row>
    <row r="426" spans="1:7" x14ac:dyDescent="0.25">
      <c r="A426" t="s">
        <v>159</v>
      </c>
      <c r="B426" t="s">
        <v>33</v>
      </c>
      <c r="C426" t="s">
        <v>34</v>
      </c>
      <c r="D426" s="7">
        <v>44698</v>
      </c>
      <c r="E426" t="s">
        <v>99</v>
      </c>
      <c r="F426" s="8">
        <v>1559356</v>
      </c>
      <c r="G426" t="s">
        <v>36</v>
      </c>
    </row>
    <row r="427" spans="1:7" x14ac:dyDescent="0.25">
      <c r="A427" t="s">
        <v>159</v>
      </c>
      <c r="B427" t="s">
        <v>38</v>
      </c>
      <c r="C427" t="s">
        <v>39</v>
      </c>
      <c r="D427" s="7">
        <v>44700</v>
      </c>
      <c r="E427" t="s">
        <v>162</v>
      </c>
      <c r="F427" s="8">
        <v>1611430</v>
      </c>
      <c r="G427" t="s">
        <v>36</v>
      </c>
    </row>
    <row r="428" spans="1:7" x14ac:dyDescent="0.25">
      <c r="A428" t="s">
        <v>159</v>
      </c>
      <c r="B428" t="s">
        <v>33</v>
      </c>
      <c r="C428" t="s">
        <v>34</v>
      </c>
      <c r="D428" s="7">
        <v>44701</v>
      </c>
      <c r="E428" t="s">
        <v>163</v>
      </c>
      <c r="F428" s="8">
        <v>1427800</v>
      </c>
      <c r="G428" t="s">
        <v>36</v>
      </c>
    </row>
    <row r="429" spans="1:7" x14ac:dyDescent="0.25">
      <c r="A429" t="s">
        <v>159</v>
      </c>
      <c r="B429" t="s">
        <v>33</v>
      </c>
      <c r="C429" t="s">
        <v>34</v>
      </c>
      <c r="D429" s="7">
        <v>44701</v>
      </c>
      <c r="E429" t="s">
        <v>83</v>
      </c>
      <c r="F429" s="8">
        <v>3666260</v>
      </c>
      <c r="G429" t="s">
        <v>36</v>
      </c>
    </row>
    <row r="430" spans="1:7" x14ac:dyDescent="0.25">
      <c r="A430" t="s">
        <v>159</v>
      </c>
      <c r="B430" t="s">
        <v>33</v>
      </c>
      <c r="C430" t="s">
        <v>34</v>
      </c>
      <c r="D430" s="7">
        <v>44701</v>
      </c>
      <c r="E430" t="s">
        <v>51</v>
      </c>
      <c r="F430" s="8">
        <v>577020</v>
      </c>
      <c r="G430" t="s">
        <v>36</v>
      </c>
    </row>
    <row r="431" spans="1:7" x14ac:dyDescent="0.25">
      <c r="A431" t="s">
        <v>159</v>
      </c>
      <c r="B431" t="s">
        <v>33</v>
      </c>
      <c r="C431" t="s">
        <v>34</v>
      </c>
      <c r="D431" s="7">
        <v>44701</v>
      </c>
      <c r="E431" t="s">
        <v>162</v>
      </c>
      <c r="F431" s="8">
        <v>3286000</v>
      </c>
      <c r="G431" t="s">
        <v>36</v>
      </c>
    </row>
    <row r="432" spans="1:7" x14ac:dyDescent="0.25">
      <c r="A432" t="s">
        <v>159</v>
      </c>
      <c r="B432" t="s">
        <v>33</v>
      </c>
      <c r="C432" t="s">
        <v>34</v>
      </c>
      <c r="D432" s="7">
        <v>44701</v>
      </c>
      <c r="E432" t="s">
        <v>164</v>
      </c>
      <c r="F432" s="8">
        <v>1357000</v>
      </c>
      <c r="G432" t="s">
        <v>36</v>
      </c>
    </row>
    <row r="433" spans="1:7" x14ac:dyDescent="0.25">
      <c r="A433" t="s">
        <v>159</v>
      </c>
      <c r="B433" t="s">
        <v>38</v>
      </c>
      <c r="C433" t="s">
        <v>39</v>
      </c>
      <c r="D433" s="7">
        <v>44701</v>
      </c>
      <c r="E433" t="s">
        <v>163</v>
      </c>
      <c r="F433" s="8">
        <v>238100</v>
      </c>
      <c r="G433" t="s">
        <v>36</v>
      </c>
    </row>
    <row r="434" spans="1:7" x14ac:dyDescent="0.25">
      <c r="A434" t="s">
        <v>159</v>
      </c>
      <c r="B434" t="s">
        <v>38</v>
      </c>
      <c r="C434" t="s">
        <v>39</v>
      </c>
      <c r="D434" s="7">
        <v>44712</v>
      </c>
      <c r="E434" t="s">
        <v>165</v>
      </c>
      <c r="F434" s="8">
        <v>666593.04</v>
      </c>
      <c r="G434" t="s">
        <v>36</v>
      </c>
    </row>
    <row r="435" spans="1:7" x14ac:dyDescent="0.25">
      <c r="A435" t="s">
        <v>159</v>
      </c>
      <c r="B435" t="s">
        <v>38</v>
      </c>
      <c r="C435" t="s">
        <v>39</v>
      </c>
      <c r="D435" s="7">
        <v>44722</v>
      </c>
      <c r="E435" t="s">
        <v>55</v>
      </c>
      <c r="F435" s="8">
        <v>3033058.35</v>
      </c>
      <c r="G435" t="s">
        <v>36</v>
      </c>
    </row>
    <row r="436" spans="1:7" x14ac:dyDescent="0.25">
      <c r="A436" t="s">
        <v>159</v>
      </c>
      <c r="B436" t="s">
        <v>38</v>
      </c>
      <c r="C436" t="s">
        <v>39</v>
      </c>
      <c r="D436" s="7">
        <v>44722</v>
      </c>
      <c r="E436" t="s">
        <v>55</v>
      </c>
      <c r="F436" s="8">
        <v>3680842.2</v>
      </c>
      <c r="G436" t="s">
        <v>36</v>
      </c>
    </row>
    <row r="437" spans="1:7" x14ac:dyDescent="0.25">
      <c r="A437" t="s">
        <v>159</v>
      </c>
      <c r="B437" t="s">
        <v>33</v>
      </c>
      <c r="C437" t="s">
        <v>34</v>
      </c>
      <c r="D437" s="7">
        <v>44730</v>
      </c>
      <c r="E437" t="s">
        <v>74</v>
      </c>
      <c r="F437" s="8">
        <v>430100</v>
      </c>
      <c r="G437" t="s">
        <v>36</v>
      </c>
    </row>
    <row r="438" spans="1:7" x14ac:dyDescent="0.25">
      <c r="A438" t="s">
        <v>159</v>
      </c>
      <c r="B438" t="s">
        <v>33</v>
      </c>
      <c r="C438" t="s">
        <v>34</v>
      </c>
      <c r="D438" s="7">
        <v>44741</v>
      </c>
      <c r="E438" t="s">
        <v>162</v>
      </c>
      <c r="F438" s="8">
        <v>477400</v>
      </c>
      <c r="G438" t="s">
        <v>36</v>
      </c>
    </row>
    <row r="439" spans="1:7" x14ac:dyDescent="0.25">
      <c r="A439" t="s">
        <v>159</v>
      </c>
      <c r="B439" t="s">
        <v>33</v>
      </c>
      <c r="C439" t="s">
        <v>34</v>
      </c>
      <c r="D439" s="7">
        <v>44741</v>
      </c>
      <c r="E439" t="s">
        <v>83</v>
      </c>
      <c r="F439" s="8">
        <v>477400</v>
      </c>
      <c r="G439" t="s">
        <v>36</v>
      </c>
    </row>
    <row r="440" spans="1:7" x14ac:dyDescent="0.25">
      <c r="A440" t="s">
        <v>159</v>
      </c>
      <c r="B440" t="s">
        <v>33</v>
      </c>
      <c r="C440" t="s">
        <v>34</v>
      </c>
      <c r="D440" s="7">
        <v>44741</v>
      </c>
      <c r="E440" t="s">
        <v>163</v>
      </c>
      <c r="F440" s="8">
        <v>585280</v>
      </c>
      <c r="G440" t="s">
        <v>36</v>
      </c>
    </row>
    <row r="441" spans="1:7" x14ac:dyDescent="0.25">
      <c r="A441" t="s">
        <v>159</v>
      </c>
      <c r="B441" t="s">
        <v>33</v>
      </c>
      <c r="C441" t="s">
        <v>34</v>
      </c>
      <c r="D441" s="7">
        <v>44741</v>
      </c>
      <c r="E441" t="s">
        <v>51</v>
      </c>
      <c r="F441" s="8">
        <v>217002</v>
      </c>
      <c r="G441" t="s">
        <v>36</v>
      </c>
    </row>
    <row r="442" spans="1:7" x14ac:dyDescent="0.25">
      <c r="A442" t="s">
        <v>159</v>
      </c>
      <c r="B442" t="s">
        <v>33</v>
      </c>
      <c r="C442" t="s">
        <v>34</v>
      </c>
      <c r="D442" s="7">
        <v>44741</v>
      </c>
      <c r="E442" t="s">
        <v>166</v>
      </c>
      <c r="F442" s="8">
        <v>4000000</v>
      </c>
      <c r="G442" t="s">
        <v>36</v>
      </c>
    </row>
    <row r="443" spans="1:7" x14ac:dyDescent="0.25">
      <c r="A443" t="s">
        <v>159</v>
      </c>
      <c r="B443" t="s">
        <v>33</v>
      </c>
      <c r="C443" t="s">
        <v>34</v>
      </c>
      <c r="D443" s="7">
        <v>44748</v>
      </c>
      <c r="E443" t="s">
        <v>99</v>
      </c>
      <c r="F443" s="8">
        <v>826970</v>
      </c>
      <c r="G443" t="s">
        <v>36</v>
      </c>
    </row>
    <row r="444" spans="1:7" x14ac:dyDescent="0.25">
      <c r="A444" t="s">
        <v>159</v>
      </c>
      <c r="B444" t="s">
        <v>33</v>
      </c>
      <c r="C444" t="s">
        <v>34</v>
      </c>
      <c r="D444" s="7">
        <v>44755</v>
      </c>
      <c r="E444" t="s">
        <v>73</v>
      </c>
      <c r="F444" s="8">
        <v>247329</v>
      </c>
      <c r="G444" t="s">
        <v>36</v>
      </c>
    </row>
    <row r="445" spans="1:7" x14ac:dyDescent="0.25">
      <c r="A445" t="s">
        <v>159</v>
      </c>
      <c r="B445" t="s">
        <v>33</v>
      </c>
      <c r="C445" t="s">
        <v>34</v>
      </c>
      <c r="D445" s="7">
        <v>44761</v>
      </c>
      <c r="E445" t="s">
        <v>109</v>
      </c>
      <c r="F445" s="8">
        <v>699000</v>
      </c>
      <c r="G445" t="s">
        <v>36</v>
      </c>
    </row>
    <row r="446" spans="1:7" x14ac:dyDescent="0.25">
      <c r="A446" t="s">
        <v>159</v>
      </c>
      <c r="B446" t="s">
        <v>38</v>
      </c>
      <c r="C446" t="s">
        <v>39</v>
      </c>
      <c r="D446" s="7">
        <v>44761</v>
      </c>
      <c r="E446" t="s">
        <v>162</v>
      </c>
      <c r="F446" s="8">
        <v>935238</v>
      </c>
      <c r="G446" t="s">
        <v>36</v>
      </c>
    </row>
    <row r="447" spans="1:7" x14ac:dyDescent="0.25">
      <c r="A447" t="s">
        <v>159</v>
      </c>
      <c r="B447" t="s">
        <v>38</v>
      </c>
      <c r="C447" t="s">
        <v>39</v>
      </c>
      <c r="D447" s="7">
        <v>44770</v>
      </c>
      <c r="E447" t="s">
        <v>83</v>
      </c>
      <c r="F447" s="8">
        <v>373376</v>
      </c>
      <c r="G447" t="s">
        <v>36</v>
      </c>
    </row>
    <row r="448" spans="1:7" x14ac:dyDescent="0.25">
      <c r="A448" t="s">
        <v>159</v>
      </c>
      <c r="B448" t="s">
        <v>38</v>
      </c>
      <c r="C448" t="s">
        <v>39</v>
      </c>
      <c r="D448" s="7">
        <v>44771</v>
      </c>
      <c r="E448" t="s">
        <v>167</v>
      </c>
      <c r="F448" s="8">
        <v>508190.48</v>
      </c>
      <c r="G448" t="s">
        <v>36</v>
      </c>
    </row>
    <row r="449" spans="1:7" x14ac:dyDescent="0.25">
      <c r="A449" t="s">
        <v>159</v>
      </c>
      <c r="B449" t="s">
        <v>33</v>
      </c>
      <c r="C449" t="s">
        <v>34</v>
      </c>
      <c r="D449" s="7">
        <v>44777</v>
      </c>
      <c r="E449" t="s">
        <v>99</v>
      </c>
      <c r="F449" s="8">
        <v>264369</v>
      </c>
      <c r="G449" t="s">
        <v>36</v>
      </c>
    </row>
    <row r="450" spans="1:7" x14ac:dyDescent="0.25">
      <c r="A450" t="s">
        <v>159</v>
      </c>
      <c r="B450" t="s">
        <v>38</v>
      </c>
      <c r="C450" t="s">
        <v>39</v>
      </c>
      <c r="D450" s="7">
        <v>44777</v>
      </c>
      <c r="E450" t="s">
        <v>167</v>
      </c>
      <c r="F450" s="8">
        <v>230857.14</v>
      </c>
      <c r="G450" t="s">
        <v>36</v>
      </c>
    </row>
    <row r="451" spans="1:7" x14ac:dyDescent="0.25">
      <c r="A451" t="s">
        <v>159</v>
      </c>
      <c r="B451" t="s">
        <v>33</v>
      </c>
      <c r="C451" t="s">
        <v>34</v>
      </c>
      <c r="D451" s="7">
        <v>44795</v>
      </c>
      <c r="E451" t="s">
        <v>64</v>
      </c>
      <c r="F451" s="8">
        <v>684128</v>
      </c>
      <c r="G451" t="s">
        <v>36</v>
      </c>
    </row>
    <row r="452" spans="1:7" x14ac:dyDescent="0.25">
      <c r="A452" t="s">
        <v>159</v>
      </c>
      <c r="B452" t="s">
        <v>33</v>
      </c>
      <c r="C452" t="s">
        <v>34</v>
      </c>
      <c r="D452" s="7">
        <v>44799</v>
      </c>
      <c r="E452" t="s">
        <v>74</v>
      </c>
      <c r="F452" s="8">
        <v>397050</v>
      </c>
      <c r="G452" t="s">
        <v>36</v>
      </c>
    </row>
    <row r="453" spans="1:7" x14ac:dyDescent="0.25">
      <c r="A453" t="s">
        <v>159</v>
      </c>
      <c r="B453" t="s">
        <v>38</v>
      </c>
      <c r="C453" t="s">
        <v>39</v>
      </c>
      <c r="D453" s="7">
        <v>44802</v>
      </c>
      <c r="E453" t="s">
        <v>83</v>
      </c>
      <c r="F453" s="8">
        <v>445720</v>
      </c>
      <c r="G453" t="s">
        <v>36</v>
      </c>
    </row>
    <row r="454" spans="1:7" x14ac:dyDescent="0.25">
      <c r="A454" t="s">
        <v>159</v>
      </c>
      <c r="B454" t="s">
        <v>38</v>
      </c>
      <c r="C454" t="s">
        <v>39</v>
      </c>
      <c r="D454" s="7">
        <v>44802</v>
      </c>
      <c r="E454" t="s">
        <v>168</v>
      </c>
      <c r="F454" s="8">
        <v>476190.5</v>
      </c>
      <c r="G454" t="s">
        <v>36</v>
      </c>
    </row>
    <row r="455" spans="1:7" x14ac:dyDescent="0.25">
      <c r="A455" t="s">
        <v>159</v>
      </c>
      <c r="B455" t="s">
        <v>38</v>
      </c>
      <c r="C455" t="s">
        <v>39</v>
      </c>
      <c r="D455" s="7">
        <v>44802</v>
      </c>
      <c r="E455" t="s">
        <v>169</v>
      </c>
      <c r="F455" s="8">
        <v>401904.75</v>
      </c>
      <c r="G455" t="s">
        <v>36</v>
      </c>
    </row>
    <row r="456" spans="1:7" x14ac:dyDescent="0.25">
      <c r="A456" t="s">
        <v>159</v>
      </c>
      <c r="B456" t="s">
        <v>33</v>
      </c>
      <c r="C456" t="s">
        <v>34</v>
      </c>
      <c r="D456" s="7">
        <v>44803</v>
      </c>
      <c r="E456" t="s">
        <v>164</v>
      </c>
      <c r="F456" s="8">
        <v>259820</v>
      </c>
      <c r="G456" t="s">
        <v>36</v>
      </c>
    </row>
    <row r="457" spans="1:7" x14ac:dyDescent="0.25">
      <c r="A457" t="s">
        <v>159</v>
      </c>
      <c r="B457" t="s">
        <v>38</v>
      </c>
      <c r="C457" t="s">
        <v>39</v>
      </c>
      <c r="D457" s="7">
        <v>44804</v>
      </c>
      <c r="E457" t="s">
        <v>51</v>
      </c>
      <c r="F457" s="8">
        <v>285705</v>
      </c>
      <c r="G457" t="s">
        <v>36</v>
      </c>
    </row>
    <row r="458" spans="1:7" x14ac:dyDescent="0.25">
      <c r="A458" t="s">
        <v>159</v>
      </c>
      <c r="B458" t="s">
        <v>38</v>
      </c>
      <c r="C458" t="s">
        <v>39</v>
      </c>
      <c r="D458" s="7">
        <v>44804</v>
      </c>
      <c r="E458" t="s">
        <v>83</v>
      </c>
      <c r="F458" s="8">
        <v>469526.4</v>
      </c>
      <c r="G458" t="s">
        <v>36</v>
      </c>
    </row>
    <row r="459" spans="1:7" x14ac:dyDescent="0.25">
      <c r="A459" t="s">
        <v>159</v>
      </c>
      <c r="B459" t="s">
        <v>33</v>
      </c>
      <c r="C459" t="s">
        <v>34</v>
      </c>
      <c r="D459" s="7">
        <v>44805</v>
      </c>
      <c r="E459" t="s">
        <v>99</v>
      </c>
      <c r="F459" s="8">
        <v>731936</v>
      </c>
      <c r="G459" t="s">
        <v>36</v>
      </c>
    </row>
    <row r="460" spans="1:7" x14ac:dyDescent="0.25">
      <c r="A460" t="s">
        <v>159</v>
      </c>
      <c r="B460" t="s">
        <v>33</v>
      </c>
      <c r="C460" t="s">
        <v>34</v>
      </c>
      <c r="D460" s="7">
        <v>44813</v>
      </c>
      <c r="E460" t="s">
        <v>68</v>
      </c>
      <c r="F460" s="8">
        <v>178500</v>
      </c>
      <c r="G460" t="s">
        <v>36</v>
      </c>
    </row>
    <row r="461" spans="1:7" x14ac:dyDescent="0.25">
      <c r="A461" t="s">
        <v>159</v>
      </c>
      <c r="B461" t="s">
        <v>33</v>
      </c>
      <c r="C461" t="s">
        <v>34</v>
      </c>
      <c r="D461" s="7">
        <v>44813</v>
      </c>
      <c r="E461" t="s">
        <v>170</v>
      </c>
      <c r="F461" s="8">
        <v>127500</v>
      </c>
      <c r="G461" t="s">
        <v>36</v>
      </c>
    </row>
    <row r="462" spans="1:7" x14ac:dyDescent="0.25">
      <c r="A462" t="s">
        <v>159</v>
      </c>
      <c r="B462" t="s">
        <v>33</v>
      </c>
      <c r="C462" t="s">
        <v>34</v>
      </c>
      <c r="D462" s="7">
        <v>44825</v>
      </c>
      <c r="E462" t="s">
        <v>99</v>
      </c>
      <c r="F462" s="8">
        <v>723405</v>
      </c>
      <c r="G462" t="s">
        <v>36</v>
      </c>
    </row>
    <row r="463" spans="1:7" x14ac:dyDescent="0.25">
      <c r="A463" t="s">
        <v>159</v>
      </c>
      <c r="B463" t="s">
        <v>38</v>
      </c>
      <c r="C463" t="s">
        <v>39</v>
      </c>
      <c r="D463" s="7">
        <v>44831</v>
      </c>
      <c r="E463" t="s">
        <v>167</v>
      </c>
      <c r="F463" s="8">
        <v>1116666.6599999999</v>
      </c>
      <c r="G463" t="s">
        <v>36</v>
      </c>
    </row>
    <row r="464" spans="1:7" x14ac:dyDescent="0.25">
      <c r="A464" t="s">
        <v>159</v>
      </c>
      <c r="B464" t="s">
        <v>38</v>
      </c>
      <c r="C464" t="s">
        <v>39</v>
      </c>
      <c r="D464" s="7">
        <v>44832</v>
      </c>
      <c r="E464" t="s">
        <v>109</v>
      </c>
      <c r="F464" s="8">
        <v>91200</v>
      </c>
      <c r="G464" t="s">
        <v>36</v>
      </c>
    </row>
    <row r="465" spans="1:7" x14ac:dyDescent="0.25">
      <c r="A465" t="s">
        <v>159</v>
      </c>
      <c r="B465" t="s">
        <v>38</v>
      </c>
      <c r="C465" t="s">
        <v>39</v>
      </c>
      <c r="D465" s="7">
        <v>44833</v>
      </c>
      <c r="E465" t="s">
        <v>83</v>
      </c>
      <c r="F465" s="8">
        <v>564105.6</v>
      </c>
      <c r="G465" t="s">
        <v>36</v>
      </c>
    </row>
    <row r="466" spans="1:7" x14ac:dyDescent="0.25">
      <c r="A466" t="s">
        <v>159</v>
      </c>
      <c r="B466" t="s">
        <v>33</v>
      </c>
      <c r="C466" t="s">
        <v>34</v>
      </c>
      <c r="D466" s="7">
        <v>44834</v>
      </c>
      <c r="E466" t="s">
        <v>109</v>
      </c>
      <c r="F466" s="8">
        <v>900964</v>
      </c>
      <c r="G466" t="s">
        <v>36</v>
      </c>
    </row>
    <row r="467" spans="1:7" x14ac:dyDescent="0.25">
      <c r="A467" t="s">
        <v>159</v>
      </c>
      <c r="B467" t="s">
        <v>38</v>
      </c>
      <c r="C467" t="s">
        <v>39</v>
      </c>
      <c r="D467" s="7">
        <v>44851</v>
      </c>
      <c r="E467" t="s">
        <v>167</v>
      </c>
      <c r="F467" s="8">
        <v>880852.38</v>
      </c>
      <c r="G467" t="s">
        <v>36</v>
      </c>
    </row>
    <row r="468" spans="1:7" x14ac:dyDescent="0.25">
      <c r="A468" t="s">
        <v>159</v>
      </c>
      <c r="B468" t="s">
        <v>33</v>
      </c>
      <c r="C468" t="s">
        <v>34</v>
      </c>
      <c r="D468" s="7">
        <v>44856</v>
      </c>
      <c r="E468" t="s">
        <v>99</v>
      </c>
      <c r="F468" s="8">
        <v>904264</v>
      </c>
      <c r="G468" t="s">
        <v>36</v>
      </c>
    </row>
    <row r="469" spans="1:7" x14ac:dyDescent="0.25">
      <c r="A469" t="s">
        <v>159</v>
      </c>
      <c r="B469" t="s">
        <v>33</v>
      </c>
      <c r="C469" t="s">
        <v>34</v>
      </c>
      <c r="D469" s="7">
        <v>44864</v>
      </c>
      <c r="E469" t="s">
        <v>83</v>
      </c>
      <c r="F469" s="8">
        <v>952000</v>
      </c>
      <c r="G469" t="s">
        <v>36</v>
      </c>
    </row>
    <row r="470" spans="1:7" x14ac:dyDescent="0.25">
      <c r="A470" t="s">
        <v>159</v>
      </c>
      <c r="B470" t="s">
        <v>33</v>
      </c>
      <c r="C470" t="s">
        <v>34</v>
      </c>
      <c r="D470" s="7">
        <v>44864</v>
      </c>
      <c r="E470" t="s">
        <v>75</v>
      </c>
      <c r="F470" s="8">
        <v>952000</v>
      </c>
      <c r="G470" t="s">
        <v>36</v>
      </c>
    </row>
    <row r="471" spans="1:7" x14ac:dyDescent="0.25">
      <c r="A471" t="s">
        <v>159</v>
      </c>
      <c r="B471" t="s">
        <v>38</v>
      </c>
      <c r="C471" t="s">
        <v>39</v>
      </c>
      <c r="D471" s="7">
        <v>44876</v>
      </c>
      <c r="E471" t="s">
        <v>171</v>
      </c>
      <c r="F471" s="8">
        <v>26100</v>
      </c>
      <c r="G471" t="s">
        <v>36</v>
      </c>
    </row>
    <row r="472" spans="1:7" x14ac:dyDescent="0.25">
      <c r="A472" t="s">
        <v>159</v>
      </c>
      <c r="B472" t="s">
        <v>33</v>
      </c>
      <c r="C472" t="s">
        <v>34</v>
      </c>
      <c r="D472" s="7">
        <v>44877</v>
      </c>
      <c r="E472" t="s">
        <v>68</v>
      </c>
      <c r="F472" s="8">
        <v>114240</v>
      </c>
      <c r="G472" t="s">
        <v>36</v>
      </c>
    </row>
    <row r="473" spans="1:7" x14ac:dyDescent="0.25">
      <c r="A473" t="s">
        <v>159</v>
      </c>
      <c r="B473" t="s">
        <v>38</v>
      </c>
      <c r="C473" t="s">
        <v>39</v>
      </c>
      <c r="D473" s="7">
        <v>44877</v>
      </c>
      <c r="E473" t="s">
        <v>171</v>
      </c>
      <c r="F473" s="8">
        <v>26100</v>
      </c>
      <c r="G473" t="s">
        <v>36</v>
      </c>
    </row>
    <row r="474" spans="1:7" x14ac:dyDescent="0.25">
      <c r="A474" t="s">
        <v>159</v>
      </c>
      <c r="B474" t="s">
        <v>38</v>
      </c>
      <c r="C474" t="s">
        <v>39</v>
      </c>
      <c r="D474" s="7">
        <v>44884</v>
      </c>
      <c r="E474" t="s">
        <v>172</v>
      </c>
      <c r="F474" s="8">
        <v>1906.78</v>
      </c>
      <c r="G474" t="s">
        <v>36</v>
      </c>
    </row>
    <row r="475" spans="1:7" x14ac:dyDescent="0.25">
      <c r="A475" t="s">
        <v>159</v>
      </c>
      <c r="B475" t="s">
        <v>33</v>
      </c>
      <c r="C475" t="s">
        <v>34</v>
      </c>
      <c r="D475" s="7">
        <v>44888</v>
      </c>
      <c r="E475" t="s">
        <v>59</v>
      </c>
      <c r="F475" s="8">
        <v>919356</v>
      </c>
      <c r="G475" t="s">
        <v>36</v>
      </c>
    </row>
    <row r="476" spans="1:7" x14ac:dyDescent="0.25">
      <c r="A476" t="s">
        <v>159</v>
      </c>
      <c r="B476" t="s">
        <v>33</v>
      </c>
      <c r="C476" t="s">
        <v>34</v>
      </c>
      <c r="D476" s="7">
        <v>44888</v>
      </c>
      <c r="E476" t="s">
        <v>162</v>
      </c>
      <c r="F476" s="8">
        <v>952380</v>
      </c>
      <c r="G476" t="s">
        <v>36</v>
      </c>
    </row>
    <row r="477" spans="1:7" x14ac:dyDescent="0.25">
      <c r="A477" t="s">
        <v>159</v>
      </c>
      <c r="B477" t="s">
        <v>33</v>
      </c>
      <c r="C477" t="s">
        <v>34</v>
      </c>
      <c r="D477" s="7">
        <v>44888</v>
      </c>
      <c r="E477" t="s">
        <v>83</v>
      </c>
      <c r="F477" s="8">
        <v>952380</v>
      </c>
      <c r="G477" t="s">
        <v>36</v>
      </c>
    </row>
    <row r="478" spans="1:7" x14ac:dyDescent="0.25">
      <c r="A478" t="s">
        <v>159</v>
      </c>
      <c r="B478" t="s">
        <v>38</v>
      </c>
      <c r="C478" t="s">
        <v>39</v>
      </c>
      <c r="D478" s="7">
        <v>44888</v>
      </c>
      <c r="E478" t="s">
        <v>163</v>
      </c>
      <c r="F478" s="8">
        <v>209047.62</v>
      </c>
      <c r="G478" t="s">
        <v>36</v>
      </c>
    </row>
    <row r="479" spans="1:7" x14ac:dyDescent="0.25">
      <c r="A479" t="s">
        <v>159</v>
      </c>
      <c r="B479" t="s">
        <v>33</v>
      </c>
      <c r="C479" t="s">
        <v>34</v>
      </c>
      <c r="D479" s="7">
        <v>44892</v>
      </c>
      <c r="E479" t="s">
        <v>163</v>
      </c>
      <c r="F479" s="8">
        <v>285840</v>
      </c>
      <c r="G479" t="s">
        <v>36</v>
      </c>
    </row>
    <row r="480" spans="1:7" x14ac:dyDescent="0.25">
      <c r="A480" t="s">
        <v>159</v>
      </c>
      <c r="B480" t="s">
        <v>38</v>
      </c>
      <c r="C480" t="s">
        <v>39</v>
      </c>
      <c r="D480" s="7">
        <v>44894</v>
      </c>
      <c r="E480" t="s">
        <v>83</v>
      </c>
      <c r="F480" s="8">
        <v>1622878.4</v>
      </c>
      <c r="G480" t="s">
        <v>36</v>
      </c>
    </row>
    <row r="481" spans="1:7" x14ac:dyDescent="0.25">
      <c r="A481" t="s">
        <v>159</v>
      </c>
      <c r="B481" t="s">
        <v>38</v>
      </c>
      <c r="C481" t="s">
        <v>39</v>
      </c>
      <c r="D481" s="7">
        <v>44896</v>
      </c>
      <c r="E481" t="s">
        <v>173</v>
      </c>
      <c r="F481" s="8">
        <v>421523.8</v>
      </c>
      <c r="G481" t="s">
        <v>36</v>
      </c>
    </row>
    <row r="482" spans="1:7" x14ac:dyDescent="0.25">
      <c r="A482" t="s">
        <v>159</v>
      </c>
      <c r="B482" t="s">
        <v>38</v>
      </c>
      <c r="C482" t="s">
        <v>39</v>
      </c>
      <c r="D482" s="7">
        <v>44903</v>
      </c>
      <c r="E482" t="s">
        <v>162</v>
      </c>
      <c r="F482" s="8">
        <v>114572</v>
      </c>
      <c r="G482" t="s">
        <v>36</v>
      </c>
    </row>
    <row r="483" spans="1:7" x14ac:dyDescent="0.25">
      <c r="A483" t="s">
        <v>159</v>
      </c>
      <c r="B483" t="s">
        <v>33</v>
      </c>
      <c r="C483" t="s">
        <v>34</v>
      </c>
      <c r="D483" s="7">
        <v>44905</v>
      </c>
      <c r="E483" t="s">
        <v>59</v>
      </c>
      <c r="F483" s="8">
        <v>908189</v>
      </c>
      <c r="G483" t="s">
        <v>36</v>
      </c>
    </row>
    <row r="484" spans="1:7" x14ac:dyDescent="0.25">
      <c r="A484" t="s">
        <v>159</v>
      </c>
      <c r="B484" t="s">
        <v>38</v>
      </c>
      <c r="C484" t="s">
        <v>39</v>
      </c>
      <c r="D484" s="7">
        <v>44908</v>
      </c>
      <c r="E484" t="s">
        <v>174</v>
      </c>
      <c r="F484" s="8">
        <v>333600</v>
      </c>
      <c r="G484" t="s">
        <v>36</v>
      </c>
    </row>
    <row r="485" spans="1:7" x14ac:dyDescent="0.25">
      <c r="A485" t="s">
        <v>159</v>
      </c>
      <c r="B485" t="s">
        <v>38</v>
      </c>
      <c r="C485" t="s">
        <v>39</v>
      </c>
      <c r="D485" s="7">
        <v>44908</v>
      </c>
      <c r="E485" t="s">
        <v>56</v>
      </c>
      <c r="F485" s="8">
        <v>761666.72</v>
      </c>
      <c r="G485" t="s">
        <v>36</v>
      </c>
    </row>
    <row r="486" spans="1:7" x14ac:dyDescent="0.25">
      <c r="A486" t="s">
        <v>159</v>
      </c>
      <c r="B486" t="s">
        <v>38</v>
      </c>
      <c r="C486" t="s">
        <v>39</v>
      </c>
      <c r="D486" s="7">
        <v>44908</v>
      </c>
      <c r="E486" t="s">
        <v>58</v>
      </c>
      <c r="F486" s="8">
        <v>1294800</v>
      </c>
      <c r="G486" t="s">
        <v>36</v>
      </c>
    </row>
    <row r="487" spans="1:7" x14ac:dyDescent="0.25">
      <c r="A487" t="s">
        <v>159</v>
      </c>
      <c r="B487" t="s">
        <v>33</v>
      </c>
      <c r="C487" t="s">
        <v>34</v>
      </c>
      <c r="D487" s="7">
        <v>44916</v>
      </c>
      <c r="E487" t="s">
        <v>59</v>
      </c>
      <c r="F487" s="8">
        <v>466286</v>
      </c>
      <c r="G487" t="s">
        <v>36</v>
      </c>
    </row>
    <row r="488" spans="1:7" x14ac:dyDescent="0.25">
      <c r="A488" t="s">
        <v>159</v>
      </c>
      <c r="B488" t="s">
        <v>38</v>
      </c>
      <c r="C488" t="s">
        <v>39</v>
      </c>
      <c r="D488" s="7">
        <v>44916</v>
      </c>
      <c r="E488" t="s">
        <v>60</v>
      </c>
      <c r="F488" s="8">
        <v>381000</v>
      </c>
      <c r="G488" t="s">
        <v>36</v>
      </c>
    </row>
    <row r="489" spans="1:7" x14ac:dyDescent="0.25">
      <c r="A489" t="s">
        <v>159</v>
      </c>
      <c r="B489" t="s">
        <v>33</v>
      </c>
      <c r="C489" t="s">
        <v>34</v>
      </c>
      <c r="D489" s="7">
        <v>44918</v>
      </c>
      <c r="E489" t="s">
        <v>99</v>
      </c>
      <c r="F489" s="8">
        <v>692897</v>
      </c>
      <c r="G489" t="s">
        <v>36</v>
      </c>
    </row>
    <row r="490" spans="1:7" x14ac:dyDescent="0.25">
      <c r="A490" t="s">
        <v>159</v>
      </c>
      <c r="B490" t="s">
        <v>38</v>
      </c>
      <c r="C490" t="s">
        <v>39</v>
      </c>
      <c r="D490" s="7">
        <v>44922</v>
      </c>
      <c r="E490" t="s">
        <v>63</v>
      </c>
      <c r="F490" s="8">
        <v>665000.16</v>
      </c>
      <c r="G490" t="s">
        <v>36</v>
      </c>
    </row>
    <row r="491" spans="1:7" x14ac:dyDescent="0.25">
      <c r="A491" t="s">
        <v>159</v>
      </c>
      <c r="B491" t="s">
        <v>38</v>
      </c>
      <c r="C491" t="s">
        <v>39</v>
      </c>
      <c r="D491" s="7">
        <v>44925</v>
      </c>
      <c r="E491" t="s">
        <v>58</v>
      </c>
      <c r="F491" s="8">
        <v>202380.96</v>
      </c>
      <c r="G491" t="s">
        <v>36</v>
      </c>
    </row>
    <row r="492" spans="1:7" x14ac:dyDescent="0.25">
      <c r="A492" t="s">
        <v>159</v>
      </c>
      <c r="B492" t="s">
        <v>38</v>
      </c>
      <c r="C492" t="s">
        <v>39</v>
      </c>
      <c r="D492" s="7">
        <v>44926</v>
      </c>
      <c r="E492" t="s">
        <v>58</v>
      </c>
      <c r="F492" s="8">
        <v>200000</v>
      </c>
      <c r="G492" t="s">
        <v>36</v>
      </c>
    </row>
    <row r="493" spans="1:7" x14ac:dyDescent="0.25">
      <c r="A493" t="s">
        <v>159</v>
      </c>
      <c r="B493" t="s">
        <v>38</v>
      </c>
      <c r="C493" t="s">
        <v>39</v>
      </c>
      <c r="D493" s="7">
        <v>44926</v>
      </c>
      <c r="E493" t="s">
        <v>80</v>
      </c>
      <c r="F493" s="8">
        <v>439498.1</v>
      </c>
      <c r="G493" t="s">
        <v>36</v>
      </c>
    </row>
    <row r="494" spans="1:7" x14ac:dyDescent="0.25">
      <c r="A494" t="s">
        <v>159</v>
      </c>
      <c r="B494" t="s">
        <v>38</v>
      </c>
      <c r="C494" t="s">
        <v>39</v>
      </c>
      <c r="D494" s="7">
        <v>44926</v>
      </c>
      <c r="E494" t="s">
        <v>66</v>
      </c>
      <c r="F494" s="8">
        <v>51238.09</v>
      </c>
      <c r="G494" t="s">
        <v>36</v>
      </c>
    </row>
    <row r="495" spans="1:7" x14ac:dyDescent="0.25">
      <c r="A495" t="s">
        <v>159</v>
      </c>
      <c r="B495" t="s">
        <v>33</v>
      </c>
      <c r="C495" t="s">
        <v>34</v>
      </c>
      <c r="D495" s="7">
        <v>44939</v>
      </c>
      <c r="E495" t="s">
        <v>164</v>
      </c>
      <c r="F495" s="8">
        <v>471095</v>
      </c>
      <c r="G495" t="s">
        <v>36</v>
      </c>
    </row>
    <row r="496" spans="1:7" x14ac:dyDescent="0.25">
      <c r="A496" t="s">
        <v>159</v>
      </c>
      <c r="B496" t="s">
        <v>33</v>
      </c>
      <c r="C496" t="s">
        <v>34</v>
      </c>
      <c r="D496" s="7">
        <v>44943</v>
      </c>
      <c r="E496" t="s">
        <v>99</v>
      </c>
      <c r="F496" s="8">
        <v>1325098.2</v>
      </c>
      <c r="G496" t="s">
        <v>36</v>
      </c>
    </row>
    <row r="497" spans="1:7" x14ac:dyDescent="0.25">
      <c r="A497" t="s">
        <v>159</v>
      </c>
      <c r="B497" t="s">
        <v>33</v>
      </c>
      <c r="C497" t="s">
        <v>34</v>
      </c>
      <c r="D497" s="7">
        <v>44947</v>
      </c>
      <c r="E497" t="s">
        <v>175</v>
      </c>
      <c r="F497" s="8">
        <v>95238.1</v>
      </c>
      <c r="G497" t="s">
        <v>36</v>
      </c>
    </row>
    <row r="498" spans="1:7" x14ac:dyDescent="0.25">
      <c r="A498" t="s">
        <v>159</v>
      </c>
      <c r="B498" t="s">
        <v>33</v>
      </c>
      <c r="C498" t="s">
        <v>34</v>
      </c>
      <c r="D498" s="7">
        <v>44949</v>
      </c>
      <c r="E498" t="s">
        <v>73</v>
      </c>
      <c r="F498" s="8">
        <v>313716</v>
      </c>
      <c r="G498" t="s">
        <v>36</v>
      </c>
    </row>
    <row r="499" spans="1:7" x14ac:dyDescent="0.25">
      <c r="A499" t="s">
        <v>159</v>
      </c>
      <c r="B499" t="s">
        <v>38</v>
      </c>
      <c r="C499" t="s">
        <v>39</v>
      </c>
      <c r="D499" s="7">
        <v>44957</v>
      </c>
      <c r="E499" t="s">
        <v>162</v>
      </c>
      <c r="F499" s="8">
        <v>76191</v>
      </c>
      <c r="G499" t="s">
        <v>36</v>
      </c>
    </row>
    <row r="500" spans="1:7" x14ac:dyDescent="0.25">
      <c r="A500" t="s">
        <v>159</v>
      </c>
      <c r="B500" t="s">
        <v>38</v>
      </c>
      <c r="C500" t="s">
        <v>39</v>
      </c>
      <c r="D500" s="7">
        <v>44957</v>
      </c>
      <c r="E500" t="s">
        <v>75</v>
      </c>
      <c r="F500" s="8">
        <v>809523</v>
      </c>
      <c r="G500" t="s">
        <v>36</v>
      </c>
    </row>
    <row r="501" spans="1:7" x14ac:dyDescent="0.25">
      <c r="A501" t="s">
        <v>159</v>
      </c>
      <c r="B501" t="s">
        <v>38</v>
      </c>
      <c r="C501" t="s">
        <v>39</v>
      </c>
      <c r="D501" s="7">
        <v>44957</v>
      </c>
      <c r="E501" t="s">
        <v>83</v>
      </c>
      <c r="F501" s="8">
        <v>619063.19999999995</v>
      </c>
      <c r="G501" t="s">
        <v>36</v>
      </c>
    </row>
    <row r="502" spans="1:7" x14ac:dyDescent="0.25">
      <c r="A502" t="s">
        <v>159</v>
      </c>
      <c r="B502" t="s">
        <v>38</v>
      </c>
      <c r="C502" t="s">
        <v>39</v>
      </c>
      <c r="D502" s="7">
        <v>44963</v>
      </c>
      <c r="E502" t="s">
        <v>176</v>
      </c>
      <c r="F502" s="8">
        <v>10000</v>
      </c>
      <c r="G502" t="s">
        <v>36</v>
      </c>
    </row>
    <row r="503" spans="1:7" x14ac:dyDescent="0.25">
      <c r="A503" t="s">
        <v>159</v>
      </c>
      <c r="B503" t="s">
        <v>33</v>
      </c>
      <c r="C503" t="s">
        <v>34</v>
      </c>
      <c r="D503" s="7">
        <v>44964</v>
      </c>
      <c r="E503" t="s">
        <v>73</v>
      </c>
      <c r="F503" s="8">
        <v>246620</v>
      </c>
      <c r="G503" t="s">
        <v>36</v>
      </c>
    </row>
    <row r="504" spans="1:7" x14ac:dyDescent="0.25">
      <c r="A504" t="s">
        <v>159</v>
      </c>
      <c r="B504" t="s">
        <v>33</v>
      </c>
      <c r="C504" t="s">
        <v>34</v>
      </c>
      <c r="D504" s="7">
        <v>44964</v>
      </c>
      <c r="E504" t="s">
        <v>175</v>
      </c>
      <c r="F504" s="8">
        <v>190480</v>
      </c>
      <c r="G504" t="s">
        <v>36</v>
      </c>
    </row>
    <row r="505" spans="1:7" x14ac:dyDescent="0.25">
      <c r="A505" t="s">
        <v>159</v>
      </c>
      <c r="B505" t="s">
        <v>33</v>
      </c>
      <c r="C505" t="s">
        <v>34</v>
      </c>
      <c r="D505" s="7">
        <v>44965</v>
      </c>
      <c r="E505" t="s">
        <v>87</v>
      </c>
      <c r="F505" s="8">
        <v>613276</v>
      </c>
      <c r="G505" t="s">
        <v>36</v>
      </c>
    </row>
    <row r="506" spans="1:7" x14ac:dyDescent="0.25">
      <c r="A506" t="s">
        <v>159</v>
      </c>
      <c r="B506" t="s">
        <v>38</v>
      </c>
      <c r="C506" t="s">
        <v>39</v>
      </c>
      <c r="D506" s="7">
        <v>44968</v>
      </c>
      <c r="E506" t="s">
        <v>177</v>
      </c>
      <c r="F506" s="8">
        <v>786791.43</v>
      </c>
      <c r="G506" t="s">
        <v>36</v>
      </c>
    </row>
    <row r="507" spans="1:7" x14ac:dyDescent="0.25">
      <c r="A507" t="s">
        <v>159</v>
      </c>
      <c r="B507" t="s">
        <v>33</v>
      </c>
      <c r="C507" t="s">
        <v>34</v>
      </c>
      <c r="D507" s="7">
        <v>44969</v>
      </c>
      <c r="E507" t="s">
        <v>164</v>
      </c>
      <c r="F507" s="8">
        <v>72000</v>
      </c>
      <c r="G507" t="s">
        <v>36</v>
      </c>
    </row>
    <row r="508" spans="1:7" x14ac:dyDescent="0.25">
      <c r="A508" t="s">
        <v>159</v>
      </c>
      <c r="B508" t="s">
        <v>33</v>
      </c>
      <c r="C508" t="s">
        <v>34</v>
      </c>
      <c r="D508" s="7">
        <v>44969</v>
      </c>
      <c r="E508" t="s">
        <v>60</v>
      </c>
      <c r="F508" s="8">
        <v>228580</v>
      </c>
      <c r="G508" t="s">
        <v>36</v>
      </c>
    </row>
    <row r="509" spans="1:7" x14ac:dyDescent="0.25">
      <c r="A509" t="s">
        <v>159</v>
      </c>
      <c r="B509" t="s">
        <v>33</v>
      </c>
      <c r="C509" t="s">
        <v>34</v>
      </c>
      <c r="D509" s="7">
        <v>44970</v>
      </c>
      <c r="E509" t="s">
        <v>170</v>
      </c>
      <c r="F509" s="8">
        <v>13450</v>
      </c>
      <c r="G509" t="s">
        <v>36</v>
      </c>
    </row>
    <row r="510" spans="1:7" x14ac:dyDescent="0.25">
      <c r="A510" t="s">
        <v>159</v>
      </c>
      <c r="B510" t="s">
        <v>38</v>
      </c>
      <c r="C510" t="s">
        <v>39</v>
      </c>
      <c r="D510" s="7">
        <v>44970</v>
      </c>
      <c r="E510" t="s">
        <v>56</v>
      </c>
      <c r="F510" s="8">
        <v>709239.08</v>
      </c>
      <c r="G510" t="s">
        <v>36</v>
      </c>
    </row>
    <row r="511" spans="1:7" x14ac:dyDescent="0.25">
      <c r="A511" t="s">
        <v>159</v>
      </c>
      <c r="B511" t="s">
        <v>33</v>
      </c>
      <c r="C511" t="s">
        <v>34</v>
      </c>
      <c r="D511" s="7">
        <v>44971</v>
      </c>
      <c r="E511" t="s">
        <v>74</v>
      </c>
      <c r="F511" s="8">
        <v>313712</v>
      </c>
      <c r="G511" t="s">
        <v>36</v>
      </c>
    </row>
    <row r="512" spans="1:7" x14ac:dyDescent="0.25">
      <c r="A512" t="s">
        <v>159</v>
      </c>
      <c r="B512" t="s">
        <v>38</v>
      </c>
      <c r="C512" t="s">
        <v>39</v>
      </c>
      <c r="D512" s="7">
        <v>44975</v>
      </c>
      <c r="E512" t="s">
        <v>58</v>
      </c>
      <c r="F512" s="8">
        <v>546666.66</v>
      </c>
      <c r="G512" t="s">
        <v>36</v>
      </c>
    </row>
    <row r="513" spans="1:7" x14ac:dyDescent="0.25">
      <c r="A513" t="s">
        <v>159</v>
      </c>
      <c r="B513" t="s">
        <v>38</v>
      </c>
      <c r="C513" t="s">
        <v>39</v>
      </c>
      <c r="D513" s="7">
        <v>44975</v>
      </c>
      <c r="E513" t="s">
        <v>58</v>
      </c>
      <c r="F513" s="8">
        <v>336964.76</v>
      </c>
      <c r="G513" t="s">
        <v>36</v>
      </c>
    </row>
    <row r="514" spans="1:7" x14ac:dyDescent="0.25">
      <c r="A514" t="s">
        <v>159</v>
      </c>
      <c r="B514" t="s">
        <v>33</v>
      </c>
      <c r="C514" t="s">
        <v>34</v>
      </c>
      <c r="D514" s="7">
        <v>44981</v>
      </c>
      <c r="E514" t="s">
        <v>73</v>
      </c>
      <c r="F514" s="8">
        <v>243575</v>
      </c>
      <c r="G514" t="s">
        <v>36</v>
      </c>
    </row>
    <row r="515" spans="1:7" x14ac:dyDescent="0.25">
      <c r="A515" t="s">
        <v>159</v>
      </c>
      <c r="B515" t="s">
        <v>33</v>
      </c>
      <c r="C515" t="s">
        <v>34</v>
      </c>
      <c r="D515" s="7">
        <v>44984</v>
      </c>
      <c r="E515" t="s">
        <v>178</v>
      </c>
      <c r="F515" s="8">
        <v>252478</v>
      </c>
      <c r="G515" t="s">
        <v>36</v>
      </c>
    </row>
    <row r="516" spans="1:7" x14ac:dyDescent="0.25">
      <c r="A516" t="s">
        <v>159</v>
      </c>
      <c r="B516" t="s">
        <v>33</v>
      </c>
      <c r="C516" t="s">
        <v>34</v>
      </c>
      <c r="D516" s="7">
        <v>44988</v>
      </c>
      <c r="E516" t="s">
        <v>74</v>
      </c>
      <c r="F516" s="8">
        <v>667857</v>
      </c>
      <c r="G516" t="s">
        <v>36</v>
      </c>
    </row>
    <row r="517" spans="1:7" x14ac:dyDescent="0.25">
      <c r="A517" t="s">
        <v>159</v>
      </c>
      <c r="B517" t="s">
        <v>33</v>
      </c>
      <c r="C517" t="s">
        <v>34</v>
      </c>
      <c r="D517" s="7">
        <v>44989</v>
      </c>
      <c r="E517" t="s">
        <v>59</v>
      </c>
      <c r="F517" s="8">
        <v>532698</v>
      </c>
      <c r="G517" t="s">
        <v>36</v>
      </c>
    </row>
    <row r="518" spans="1:7" x14ac:dyDescent="0.25">
      <c r="A518" t="s">
        <v>159</v>
      </c>
      <c r="B518" t="s">
        <v>38</v>
      </c>
      <c r="C518" t="s">
        <v>39</v>
      </c>
      <c r="D518" s="7">
        <v>44992</v>
      </c>
      <c r="E518" t="s">
        <v>173</v>
      </c>
      <c r="F518" s="8">
        <v>942857.14</v>
      </c>
      <c r="G518" t="s">
        <v>36</v>
      </c>
    </row>
    <row r="519" spans="1:7" x14ac:dyDescent="0.25">
      <c r="A519" t="s">
        <v>159</v>
      </c>
      <c r="B519" t="s">
        <v>33</v>
      </c>
      <c r="C519" t="s">
        <v>34</v>
      </c>
      <c r="D519" s="7">
        <v>44993</v>
      </c>
      <c r="E519" t="s">
        <v>175</v>
      </c>
      <c r="F519" s="8">
        <v>619060</v>
      </c>
      <c r="G519" t="s">
        <v>36</v>
      </c>
    </row>
    <row r="520" spans="1:7" x14ac:dyDescent="0.25">
      <c r="A520" t="s">
        <v>159</v>
      </c>
      <c r="B520" t="s">
        <v>33</v>
      </c>
      <c r="C520" t="s">
        <v>34</v>
      </c>
      <c r="D520" s="7">
        <v>44998</v>
      </c>
      <c r="E520" t="s">
        <v>59</v>
      </c>
      <c r="F520" s="8">
        <v>457143</v>
      </c>
      <c r="G520" t="s">
        <v>36</v>
      </c>
    </row>
    <row r="521" spans="1:7" x14ac:dyDescent="0.25">
      <c r="A521" t="s">
        <v>159</v>
      </c>
      <c r="B521" t="s">
        <v>33</v>
      </c>
      <c r="C521" t="s">
        <v>34</v>
      </c>
      <c r="D521" s="7">
        <v>44998</v>
      </c>
      <c r="E521" t="s">
        <v>73</v>
      </c>
      <c r="F521" s="8">
        <v>315575</v>
      </c>
      <c r="G521" t="s">
        <v>36</v>
      </c>
    </row>
    <row r="522" spans="1:7" x14ac:dyDescent="0.25">
      <c r="A522" t="s">
        <v>159</v>
      </c>
      <c r="B522" t="s">
        <v>38</v>
      </c>
      <c r="C522" t="s">
        <v>39</v>
      </c>
      <c r="D522" s="7">
        <v>45001</v>
      </c>
      <c r="E522" t="s">
        <v>56</v>
      </c>
      <c r="F522" s="8">
        <v>475424</v>
      </c>
      <c r="G522" t="s">
        <v>36</v>
      </c>
    </row>
    <row r="523" spans="1:7" x14ac:dyDescent="0.25">
      <c r="A523" t="s">
        <v>159</v>
      </c>
      <c r="B523" t="s">
        <v>33</v>
      </c>
      <c r="C523" t="s">
        <v>34</v>
      </c>
      <c r="D523" s="7">
        <v>45002</v>
      </c>
      <c r="E523" t="s">
        <v>99</v>
      </c>
      <c r="F523" s="8">
        <v>1082471</v>
      </c>
      <c r="G523" t="s">
        <v>36</v>
      </c>
    </row>
    <row r="524" spans="1:7" x14ac:dyDescent="0.25">
      <c r="A524" t="s">
        <v>159</v>
      </c>
      <c r="B524" t="s">
        <v>38</v>
      </c>
      <c r="C524" t="s">
        <v>39</v>
      </c>
      <c r="D524" s="7">
        <v>45005</v>
      </c>
      <c r="E524" t="s">
        <v>63</v>
      </c>
      <c r="F524" s="8">
        <v>1094001</v>
      </c>
      <c r="G524" t="s">
        <v>36</v>
      </c>
    </row>
    <row r="525" spans="1:7" x14ac:dyDescent="0.25">
      <c r="A525" t="s">
        <v>159</v>
      </c>
      <c r="B525" t="s">
        <v>33</v>
      </c>
      <c r="C525" t="s">
        <v>34</v>
      </c>
      <c r="D525" s="7">
        <v>45007</v>
      </c>
      <c r="E525" t="s">
        <v>73</v>
      </c>
      <c r="F525" s="8">
        <v>183198</v>
      </c>
      <c r="G525" t="s">
        <v>36</v>
      </c>
    </row>
    <row r="526" spans="1:7" x14ac:dyDescent="0.25">
      <c r="A526" t="s">
        <v>159</v>
      </c>
      <c r="B526" t="s">
        <v>33</v>
      </c>
      <c r="C526" t="s">
        <v>34</v>
      </c>
      <c r="D526" s="7">
        <v>45012</v>
      </c>
      <c r="E526" t="s">
        <v>178</v>
      </c>
      <c r="F526" s="8">
        <v>292892</v>
      </c>
      <c r="G526" t="s">
        <v>36</v>
      </c>
    </row>
    <row r="527" spans="1:7" x14ac:dyDescent="0.25">
      <c r="A527" t="s">
        <v>159</v>
      </c>
      <c r="B527" t="s">
        <v>33</v>
      </c>
      <c r="C527" t="s">
        <v>34</v>
      </c>
      <c r="D527" s="7">
        <v>45012</v>
      </c>
      <c r="E527" t="s">
        <v>164</v>
      </c>
      <c r="F527" s="8">
        <v>100125</v>
      </c>
      <c r="G527" t="s">
        <v>36</v>
      </c>
    </row>
    <row r="528" spans="1:7" x14ac:dyDescent="0.25">
      <c r="A528" t="s">
        <v>159</v>
      </c>
      <c r="B528" t="s">
        <v>38</v>
      </c>
      <c r="C528" t="s">
        <v>39</v>
      </c>
      <c r="D528" s="7">
        <v>45012</v>
      </c>
      <c r="E528" t="s">
        <v>80</v>
      </c>
      <c r="F528" s="8">
        <v>95238.1</v>
      </c>
      <c r="G528" t="s">
        <v>36</v>
      </c>
    </row>
    <row r="529" spans="1:7" x14ac:dyDescent="0.25">
      <c r="A529" t="s">
        <v>159</v>
      </c>
      <c r="B529" t="s">
        <v>38</v>
      </c>
      <c r="C529" t="s">
        <v>39</v>
      </c>
      <c r="D529" s="7">
        <v>45012</v>
      </c>
      <c r="E529" t="s">
        <v>83</v>
      </c>
      <c r="F529" s="8">
        <v>95240</v>
      </c>
      <c r="G529" t="s">
        <v>36</v>
      </c>
    </row>
    <row r="530" spans="1:7" x14ac:dyDescent="0.25">
      <c r="A530" t="s">
        <v>159</v>
      </c>
      <c r="B530" t="s">
        <v>38</v>
      </c>
      <c r="C530" t="s">
        <v>39</v>
      </c>
      <c r="D530" s="7">
        <v>45012</v>
      </c>
      <c r="E530" t="s">
        <v>51</v>
      </c>
      <c r="F530" s="8">
        <v>156975</v>
      </c>
      <c r="G530" t="s">
        <v>36</v>
      </c>
    </row>
    <row r="531" spans="1:7" x14ac:dyDescent="0.25">
      <c r="A531" t="s">
        <v>159</v>
      </c>
      <c r="B531" t="s">
        <v>33</v>
      </c>
      <c r="C531" t="s">
        <v>34</v>
      </c>
      <c r="D531" s="7">
        <v>45013</v>
      </c>
      <c r="E531" t="s">
        <v>165</v>
      </c>
      <c r="F531" s="8">
        <v>190400</v>
      </c>
      <c r="G531" t="s">
        <v>36</v>
      </c>
    </row>
    <row r="532" spans="1:7" x14ac:dyDescent="0.25">
      <c r="A532" t="s">
        <v>159</v>
      </c>
      <c r="B532" t="s">
        <v>38</v>
      </c>
      <c r="C532" t="s">
        <v>39</v>
      </c>
      <c r="D532" s="7">
        <v>45013</v>
      </c>
      <c r="E532" t="s">
        <v>162</v>
      </c>
      <c r="F532" s="8">
        <v>103958</v>
      </c>
      <c r="G532" t="s">
        <v>36</v>
      </c>
    </row>
    <row r="533" spans="1:7" x14ac:dyDescent="0.25">
      <c r="A533" t="s">
        <v>159</v>
      </c>
      <c r="B533" t="s">
        <v>38</v>
      </c>
      <c r="C533" t="s">
        <v>39</v>
      </c>
      <c r="D533" s="7">
        <v>45013</v>
      </c>
      <c r="E533" t="s">
        <v>75</v>
      </c>
      <c r="F533" s="8">
        <v>428190</v>
      </c>
      <c r="G533" t="s">
        <v>36</v>
      </c>
    </row>
    <row r="534" spans="1:7" x14ac:dyDescent="0.25">
      <c r="A534" t="s">
        <v>159</v>
      </c>
      <c r="B534" t="s">
        <v>38</v>
      </c>
      <c r="C534" t="s">
        <v>39</v>
      </c>
      <c r="D534" s="7">
        <v>45013</v>
      </c>
      <c r="E534" t="s">
        <v>56</v>
      </c>
      <c r="F534" s="8">
        <v>737923.86</v>
      </c>
      <c r="G534" t="s">
        <v>36</v>
      </c>
    </row>
    <row r="535" spans="1:7" x14ac:dyDescent="0.25">
      <c r="A535" t="s">
        <v>159</v>
      </c>
      <c r="B535" t="s">
        <v>33</v>
      </c>
      <c r="C535" t="s">
        <v>34</v>
      </c>
      <c r="D535" s="7">
        <v>45014</v>
      </c>
      <c r="E535" t="s">
        <v>179</v>
      </c>
      <c r="F535" s="8">
        <v>365730</v>
      </c>
      <c r="G535" t="s">
        <v>36</v>
      </c>
    </row>
    <row r="536" spans="1:7" x14ac:dyDescent="0.25">
      <c r="A536" t="s">
        <v>159</v>
      </c>
      <c r="B536" t="s">
        <v>38</v>
      </c>
      <c r="C536" t="s">
        <v>39</v>
      </c>
      <c r="D536" s="7">
        <v>45014</v>
      </c>
      <c r="E536" t="s">
        <v>58</v>
      </c>
      <c r="F536" s="8">
        <v>3035.24</v>
      </c>
      <c r="G536" t="s">
        <v>36</v>
      </c>
    </row>
    <row r="537" spans="1:7" x14ac:dyDescent="0.25">
      <c r="A537" t="s">
        <v>159</v>
      </c>
      <c r="B537" t="s">
        <v>38</v>
      </c>
      <c r="C537" t="s">
        <v>39</v>
      </c>
      <c r="D537" s="7">
        <v>45014</v>
      </c>
      <c r="E537" t="s">
        <v>180</v>
      </c>
      <c r="F537" s="8">
        <v>3520560</v>
      </c>
      <c r="G537" t="s">
        <v>36</v>
      </c>
    </row>
    <row r="538" spans="1:7" x14ac:dyDescent="0.25">
      <c r="A538" t="s">
        <v>159</v>
      </c>
      <c r="B538" t="s">
        <v>33</v>
      </c>
      <c r="C538" t="s">
        <v>34</v>
      </c>
      <c r="D538" s="7">
        <v>45016</v>
      </c>
      <c r="E538" t="s">
        <v>68</v>
      </c>
      <c r="F538" s="8">
        <v>45000</v>
      </c>
      <c r="G538" t="s">
        <v>36</v>
      </c>
    </row>
    <row r="539" spans="1:7" x14ac:dyDescent="0.25">
      <c r="A539" t="s">
        <v>159</v>
      </c>
      <c r="B539" t="s">
        <v>33</v>
      </c>
      <c r="C539" t="s">
        <v>34</v>
      </c>
      <c r="D539" s="7">
        <v>45016</v>
      </c>
      <c r="E539" t="s">
        <v>68</v>
      </c>
      <c r="F539" s="8">
        <v>55000</v>
      </c>
      <c r="G539" t="s">
        <v>36</v>
      </c>
    </row>
    <row r="540" spans="1:7" x14ac:dyDescent="0.25">
      <c r="A540" t="s">
        <v>159</v>
      </c>
      <c r="B540" t="s">
        <v>33</v>
      </c>
      <c r="C540" t="s">
        <v>34</v>
      </c>
      <c r="D540" s="7">
        <v>45016</v>
      </c>
      <c r="E540" t="s">
        <v>68</v>
      </c>
      <c r="F540" s="8">
        <v>70000</v>
      </c>
      <c r="G540" t="s">
        <v>36</v>
      </c>
    </row>
    <row r="541" spans="1:7" x14ac:dyDescent="0.25">
      <c r="A541" t="s">
        <v>159</v>
      </c>
      <c r="B541" t="s">
        <v>38</v>
      </c>
      <c r="C541" t="s">
        <v>39</v>
      </c>
      <c r="D541" s="7">
        <v>45017</v>
      </c>
      <c r="E541" t="s">
        <v>181</v>
      </c>
      <c r="F541" s="8">
        <v>2703125</v>
      </c>
      <c r="G541" t="s">
        <v>70</v>
      </c>
    </row>
    <row r="542" spans="1:7" x14ac:dyDescent="0.25">
      <c r="A542" t="s">
        <v>159</v>
      </c>
      <c r="B542" t="s">
        <v>33</v>
      </c>
      <c r="C542" t="s">
        <v>34</v>
      </c>
      <c r="D542" s="7">
        <v>45021</v>
      </c>
      <c r="E542" t="s">
        <v>42</v>
      </c>
      <c r="F542" s="8">
        <v>296790</v>
      </c>
      <c r="G542" t="s">
        <v>70</v>
      </c>
    </row>
    <row r="543" spans="1:7" x14ac:dyDescent="0.25">
      <c r="A543" t="s">
        <v>159</v>
      </c>
      <c r="B543" t="s">
        <v>33</v>
      </c>
      <c r="C543" t="s">
        <v>34</v>
      </c>
      <c r="D543" s="7">
        <v>45026</v>
      </c>
      <c r="E543" t="s">
        <v>73</v>
      </c>
      <c r="F543" s="8">
        <v>301528.59999999998</v>
      </c>
      <c r="G543" t="s">
        <v>70</v>
      </c>
    </row>
    <row r="544" spans="1:7" x14ac:dyDescent="0.25">
      <c r="A544" t="s">
        <v>159</v>
      </c>
      <c r="B544" t="s">
        <v>33</v>
      </c>
      <c r="C544" t="s">
        <v>34</v>
      </c>
      <c r="D544" s="7">
        <v>45027</v>
      </c>
      <c r="E544" t="s">
        <v>59</v>
      </c>
      <c r="F544" s="8">
        <v>368444</v>
      </c>
      <c r="G544" t="s">
        <v>70</v>
      </c>
    </row>
    <row r="545" spans="1:7" x14ac:dyDescent="0.25">
      <c r="A545" t="s">
        <v>159</v>
      </c>
      <c r="B545" t="s">
        <v>33</v>
      </c>
      <c r="C545" t="s">
        <v>39</v>
      </c>
      <c r="D545" s="7">
        <v>45029</v>
      </c>
      <c r="E545" t="s">
        <v>75</v>
      </c>
      <c r="F545" s="8">
        <v>174286</v>
      </c>
      <c r="G545" t="s">
        <v>70</v>
      </c>
    </row>
    <row r="546" spans="1:7" x14ac:dyDescent="0.25">
      <c r="A546" t="s">
        <v>159</v>
      </c>
      <c r="B546" t="s">
        <v>33</v>
      </c>
      <c r="C546" t="s">
        <v>39</v>
      </c>
      <c r="D546" s="7">
        <v>45029</v>
      </c>
      <c r="E546" t="s">
        <v>83</v>
      </c>
      <c r="F546" s="8">
        <v>2638000</v>
      </c>
      <c r="G546" t="s">
        <v>70</v>
      </c>
    </row>
    <row r="547" spans="1:7" x14ac:dyDescent="0.25">
      <c r="A547" t="s">
        <v>159</v>
      </c>
      <c r="B547" t="s">
        <v>33</v>
      </c>
      <c r="C547" t="s">
        <v>39</v>
      </c>
      <c r="D547" s="7">
        <v>45029</v>
      </c>
      <c r="E547" t="s">
        <v>47</v>
      </c>
      <c r="F547" s="8">
        <v>1820000</v>
      </c>
      <c r="G547" t="s">
        <v>70</v>
      </c>
    </row>
    <row r="548" spans="1:7" x14ac:dyDescent="0.25">
      <c r="A548" t="s">
        <v>159</v>
      </c>
      <c r="B548" t="s">
        <v>38</v>
      </c>
      <c r="C548" t="s">
        <v>39</v>
      </c>
      <c r="D548" s="7">
        <v>45030</v>
      </c>
      <c r="E548" t="s">
        <v>75</v>
      </c>
      <c r="F548" s="8">
        <v>261905</v>
      </c>
      <c r="G548" t="s">
        <v>70</v>
      </c>
    </row>
    <row r="549" spans="1:7" x14ac:dyDescent="0.25">
      <c r="A549" t="s">
        <v>159</v>
      </c>
      <c r="B549" t="s">
        <v>38</v>
      </c>
      <c r="C549" t="s">
        <v>39</v>
      </c>
      <c r="D549" s="7">
        <v>45030</v>
      </c>
      <c r="E549" t="s">
        <v>47</v>
      </c>
      <c r="F549" s="8">
        <v>392476</v>
      </c>
      <c r="G549" t="s">
        <v>70</v>
      </c>
    </row>
    <row r="550" spans="1:7" x14ac:dyDescent="0.25">
      <c r="A550" t="s">
        <v>159</v>
      </c>
      <c r="B550" t="s">
        <v>38</v>
      </c>
      <c r="C550" t="s">
        <v>39</v>
      </c>
      <c r="D550" s="7">
        <v>45038</v>
      </c>
      <c r="E550" t="s">
        <v>182</v>
      </c>
      <c r="F550" s="8">
        <v>2887500</v>
      </c>
      <c r="G550" t="s">
        <v>70</v>
      </c>
    </row>
    <row r="551" spans="1:7" x14ac:dyDescent="0.25">
      <c r="A551" t="s">
        <v>159</v>
      </c>
      <c r="B551" t="s">
        <v>33</v>
      </c>
      <c r="C551" t="s">
        <v>34</v>
      </c>
      <c r="D551" s="7">
        <v>45039</v>
      </c>
      <c r="E551" t="s">
        <v>59</v>
      </c>
      <c r="F551" s="8">
        <v>603362</v>
      </c>
      <c r="G551" t="s">
        <v>70</v>
      </c>
    </row>
    <row r="552" spans="1:7" x14ac:dyDescent="0.25">
      <c r="A552" t="s">
        <v>159</v>
      </c>
      <c r="B552" t="s">
        <v>33</v>
      </c>
      <c r="C552" t="s">
        <v>34</v>
      </c>
      <c r="D552" s="7">
        <v>45040</v>
      </c>
      <c r="E552" t="s">
        <v>74</v>
      </c>
      <c r="F552" s="8">
        <v>480060.6</v>
      </c>
      <c r="G552" t="s">
        <v>70</v>
      </c>
    </row>
    <row r="553" spans="1:7" x14ac:dyDescent="0.25">
      <c r="A553" t="s">
        <v>159</v>
      </c>
      <c r="B553" t="s">
        <v>33</v>
      </c>
      <c r="C553" t="s">
        <v>34</v>
      </c>
      <c r="D553" s="7">
        <v>45044</v>
      </c>
      <c r="E553" t="s">
        <v>37</v>
      </c>
      <c r="F553" s="8">
        <v>679909.55</v>
      </c>
      <c r="G553" t="s">
        <v>70</v>
      </c>
    </row>
    <row r="554" spans="1:7" x14ac:dyDescent="0.25">
      <c r="A554" t="s">
        <v>159</v>
      </c>
      <c r="B554" t="s">
        <v>38</v>
      </c>
      <c r="C554" t="s">
        <v>34</v>
      </c>
      <c r="D554" s="7">
        <v>45044</v>
      </c>
      <c r="E554" t="s">
        <v>56</v>
      </c>
      <c r="F554" s="8">
        <v>677810.4</v>
      </c>
      <c r="G554" t="s">
        <v>70</v>
      </c>
    </row>
    <row r="555" spans="1:7" x14ac:dyDescent="0.25">
      <c r="A555" t="s">
        <v>159</v>
      </c>
      <c r="B555" t="s">
        <v>38</v>
      </c>
      <c r="C555" t="s">
        <v>39</v>
      </c>
      <c r="D555" s="7">
        <v>45045</v>
      </c>
      <c r="E555" t="s">
        <v>83</v>
      </c>
      <c r="F555" s="8">
        <v>552384</v>
      </c>
      <c r="G555" t="s">
        <v>70</v>
      </c>
    </row>
    <row r="556" spans="1:7" x14ac:dyDescent="0.25">
      <c r="A556" t="s">
        <v>159</v>
      </c>
      <c r="B556" t="s">
        <v>38</v>
      </c>
      <c r="C556" t="s">
        <v>39</v>
      </c>
      <c r="D556" s="7">
        <v>45054</v>
      </c>
      <c r="E556" t="s">
        <v>183</v>
      </c>
      <c r="F556" s="8">
        <v>288000</v>
      </c>
      <c r="G556" t="s">
        <v>70</v>
      </c>
    </row>
    <row r="557" spans="1:7" x14ac:dyDescent="0.25">
      <c r="A557" t="s">
        <v>159</v>
      </c>
      <c r="B557" t="s">
        <v>38</v>
      </c>
      <c r="C557" t="s">
        <v>39</v>
      </c>
      <c r="D557" s="7">
        <v>45054</v>
      </c>
      <c r="E557" t="s">
        <v>183</v>
      </c>
      <c r="F557" s="8">
        <v>240000</v>
      </c>
      <c r="G557" t="s">
        <v>70</v>
      </c>
    </row>
    <row r="558" spans="1:7" x14ac:dyDescent="0.25">
      <c r="A558" t="s">
        <v>159</v>
      </c>
      <c r="B558" t="s">
        <v>38</v>
      </c>
      <c r="C558" t="s">
        <v>39</v>
      </c>
      <c r="D558" s="7">
        <v>45055</v>
      </c>
      <c r="E558" t="s">
        <v>63</v>
      </c>
      <c r="F558" s="8">
        <v>1104143.52</v>
      </c>
      <c r="G558" t="s">
        <v>70</v>
      </c>
    </row>
    <row r="559" spans="1:7" x14ac:dyDescent="0.25">
      <c r="A559" t="s">
        <v>159</v>
      </c>
      <c r="B559" t="s">
        <v>33</v>
      </c>
      <c r="C559" t="s">
        <v>34</v>
      </c>
      <c r="D559" s="7">
        <v>45069</v>
      </c>
      <c r="E559" t="s">
        <v>37</v>
      </c>
      <c r="F559" s="8">
        <v>1067000</v>
      </c>
      <c r="G559" t="s">
        <v>70</v>
      </c>
    </row>
    <row r="560" spans="1:7" x14ac:dyDescent="0.25">
      <c r="A560" t="s">
        <v>159</v>
      </c>
      <c r="B560" t="s">
        <v>38</v>
      </c>
      <c r="C560" t="s">
        <v>34</v>
      </c>
      <c r="D560" s="7">
        <v>45073</v>
      </c>
      <c r="E560" t="s">
        <v>56</v>
      </c>
      <c r="F560" s="8">
        <v>1039334.52</v>
      </c>
      <c r="G560" t="s">
        <v>70</v>
      </c>
    </row>
    <row r="561" spans="1:7" x14ac:dyDescent="0.25">
      <c r="A561" t="s">
        <v>159</v>
      </c>
      <c r="B561" t="s">
        <v>33</v>
      </c>
      <c r="C561" t="s">
        <v>34</v>
      </c>
      <c r="D561" s="7">
        <v>45075</v>
      </c>
      <c r="E561" t="s">
        <v>74</v>
      </c>
      <c r="F561" s="8">
        <v>860175</v>
      </c>
      <c r="G561" t="s">
        <v>70</v>
      </c>
    </row>
    <row r="562" spans="1:7" x14ac:dyDescent="0.25">
      <c r="A562" t="s">
        <v>159</v>
      </c>
      <c r="B562" t="s">
        <v>33</v>
      </c>
      <c r="C562" t="s">
        <v>39</v>
      </c>
      <c r="D562" s="7">
        <v>45076</v>
      </c>
      <c r="E562" t="s">
        <v>50</v>
      </c>
      <c r="F562" s="8">
        <v>190000</v>
      </c>
      <c r="G562" t="s">
        <v>70</v>
      </c>
    </row>
    <row r="563" spans="1:7" x14ac:dyDescent="0.25">
      <c r="A563" t="s">
        <v>159</v>
      </c>
      <c r="B563" t="s">
        <v>33</v>
      </c>
      <c r="C563" t="s">
        <v>39</v>
      </c>
      <c r="D563" s="7">
        <v>45076</v>
      </c>
      <c r="E563" t="s">
        <v>83</v>
      </c>
      <c r="F563" s="8">
        <v>1000000</v>
      </c>
      <c r="G563" t="s">
        <v>70</v>
      </c>
    </row>
    <row r="564" spans="1:7" x14ac:dyDescent="0.25">
      <c r="A564" t="s">
        <v>159</v>
      </c>
      <c r="B564" t="s">
        <v>33</v>
      </c>
      <c r="C564" t="s">
        <v>39</v>
      </c>
      <c r="D564" s="7">
        <v>45076</v>
      </c>
      <c r="E564" t="s">
        <v>47</v>
      </c>
      <c r="F564" s="8">
        <v>871400</v>
      </c>
      <c r="G564" t="s">
        <v>70</v>
      </c>
    </row>
    <row r="565" spans="1:7" x14ac:dyDescent="0.25">
      <c r="A565" t="s">
        <v>159</v>
      </c>
      <c r="B565" t="s">
        <v>38</v>
      </c>
      <c r="C565" t="s">
        <v>39</v>
      </c>
      <c r="D565" s="7">
        <v>45077</v>
      </c>
      <c r="E565" t="s">
        <v>47</v>
      </c>
      <c r="F565" s="8">
        <v>285714</v>
      </c>
      <c r="G565" t="s">
        <v>70</v>
      </c>
    </row>
    <row r="566" spans="1:7" x14ac:dyDescent="0.25">
      <c r="A566" t="s">
        <v>159</v>
      </c>
      <c r="B566" t="s">
        <v>38</v>
      </c>
      <c r="C566" t="s">
        <v>39</v>
      </c>
      <c r="D566" s="7">
        <v>45077</v>
      </c>
      <c r="E566" t="s">
        <v>75</v>
      </c>
      <c r="F566" s="8">
        <v>428571</v>
      </c>
      <c r="G566" t="s">
        <v>70</v>
      </c>
    </row>
    <row r="567" spans="1:7" x14ac:dyDescent="0.25">
      <c r="A567" t="s">
        <v>159</v>
      </c>
      <c r="B567" t="s">
        <v>38</v>
      </c>
      <c r="C567" t="s">
        <v>39</v>
      </c>
      <c r="D567" s="7">
        <v>45077</v>
      </c>
      <c r="E567" t="s">
        <v>83</v>
      </c>
      <c r="F567" s="8">
        <v>381024</v>
      </c>
      <c r="G567" t="s">
        <v>70</v>
      </c>
    </row>
    <row r="568" spans="1:7" x14ac:dyDescent="0.25">
      <c r="A568" t="s">
        <v>159</v>
      </c>
      <c r="B568" t="s">
        <v>33</v>
      </c>
      <c r="C568" t="s">
        <v>34</v>
      </c>
      <c r="D568" s="7">
        <v>45082</v>
      </c>
      <c r="E568" t="s">
        <v>37</v>
      </c>
      <c r="F568" s="8">
        <v>1446956</v>
      </c>
      <c r="G568" t="s">
        <v>70</v>
      </c>
    </row>
    <row r="569" spans="1:7" x14ac:dyDescent="0.25">
      <c r="A569" t="s">
        <v>159</v>
      </c>
      <c r="B569" t="s">
        <v>33</v>
      </c>
      <c r="C569" t="s">
        <v>39</v>
      </c>
      <c r="D569" s="7">
        <v>45097</v>
      </c>
      <c r="E569" t="s">
        <v>60</v>
      </c>
      <c r="F569" s="8">
        <v>358000</v>
      </c>
      <c r="G569" t="s">
        <v>70</v>
      </c>
    </row>
    <row r="570" spans="1:7" x14ac:dyDescent="0.25">
      <c r="A570" t="s">
        <v>159</v>
      </c>
      <c r="B570" t="s">
        <v>33</v>
      </c>
      <c r="C570" t="s">
        <v>34</v>
      </c>
      <c r="D570" s="7">
        <v>45105</v>
      </c>
      <c r="E570" t="s">
        <v>184</v>
      </c>
      <c r="F570" s="8">
        <v>987925</v>
      </c>
      <c r="G570" t="s">
        <v>70</v>
      </c>
    </row>
    <row r="571" spans="1:7" x14ac:dyDescent="0.25">
      <c r="A571" t="s">
        <v>159</v>
      </c>
      <c r="B571" t="s">
        <v>33</v>
      </c>
      <c r="C571" t="s">
        <v>34</v>
      </c>
      <c r="D571" s="7">
        <v>45105</v>
      </c>
      <c r="E571" t="s">
        <v>185</v>
      </c>
      <c r="F571" s="8">
        <v>688257</v>
      </c>
      <c r="G571" t="s">
        <v>70</v>
      </c>
    </row>
    <row r="572" spans="1:7" x14ac:dyDescent="0.25">
      <c r="A572" t="s">
        <v>159</v>
      </c>
      <c r="B572" t="s">
        <v>38</v>
      </c>
      <c r="C572" t="s">
        <v>39</v>
      </c>
      <c r="D572" s="7">
        <v>45107</v>
      </c>
      <c r="E572" t="s">
        <v>75</v>
      </c>
      <c r="F572" s="8">
        <v>413143</v>
      </c>
      <c r="G572" t="s">
        <v>70</v>
      </c>
    </row>
    <row r="573" spans="1:7" x14ac:dyDescent="0.25">
      <c r="A573" t="s">
        <v>159</v>
      </c>
      <c r="B573" t="s">
        <v>33</v>
      </c>
      <c r="C573" t="s">
        <v>34</v>
      </c>
      <c r="D573" s="7">
        <v>45125</v>
      </c>
      <c r="E573" t="s">
        <v>186</v>
      </c>
      <c r="F573" s="8">
        <v>66857.399999999994</v>
      </c>
      <c r="G573" t="s">
        <v>70</v>
      </c>
    </row>
    <row r="574" spans="1:7" x14ac:dyDescent="0.25">
      <c r="A574" t="s">
        <v>159</v>
      </c>
      <c r="B574" t="s">
        <v>33</v>
      </c>
      <c r="C574" t="s">
        <v>34</v>
      </c>
      <c r="D574" s="7">
        <v>45126</v>
      </c>
      <c r="E574" t="s">
        <v>187</v>
      </c>
      <c r="F574" s="8">
        <v>231866.56</v>
      </c>
      <c r="G574" t="s">
        <v>70</v>
      </c>
    </row>
    <row r="575" spans="1:7" x14ac:dyDescent="0.25">
      <c r="A575" t="s">
        <v>159</v>
      </c>
      <c r="B575" t="s">
        <v>33</v>
      </c>
      <c r="C575" t="s">
        <v>34</v>
      </c>
      <c r="D575" s="7">
        <v>45126</v>
      </c>
      <c r="E575" t="s">
        <v>42</v>
      </c>
      <c r="F575" s="8">
        <v>808857.4</v>
      </c>
      <c r="G575" t="s">
        <v>70</v>
      </c>
    </row>
    <row r="576" spans="1:7" x14ac:dyDescent="0.25">
      <c r="A576" t="s">
        <v>159</v>
      </c>
      <c r="B576" t="s">
        <v>33</v>
      </c>
      <c r="C576" t="s">
        <v>34</v>
      </c>
      <c r="D576" s="7">
        <v>45133</v>
      </c>
      <c r="E576" t="s">
        <v>73</v>
      </c>
      <c r="F576" s="8">
        <v>274619.90000000002</v>
      </c>
      <c r="G576" t="s">
        <v>70</v>
      </c>
    </row>
    <row r="577" spans="1:7" x14ac:dyDescent="0.25">
      <c r="A577" t="s">
        <v>159</v>
      </c>
      <c r="B577" t="s">
        <v>38</v>
      </c>
      <c r="C577" t="s">
        <v>39</v>
      </c>
      <c r="D577" s="7">
        <v>45138</v>
      </c>
      <c r="E577" t="s">
        <v>50</v>
      </c>
      <c r="F577" s="8">
        <v>433333.33</v>
      </c>
      <c r="G577" t="s">
        <v>70</v>
      </c>
    </row>
    <row r="578" spans="1:7" x14ac:dyDescent="0.25">
      <c r="A578" t="s">
        <v>159</v>
      </c>
      <c r="B578" t="s">
        <v>38</v>
      </c>
      <c r="C578" t="s">
        <v>39</v>
      </c>
      <c r="D578" s="7">
        <v>45139</v>
      </c>
      <c r="E578" t="s">
        <v>53</v>
      </c>
      <c r="F578" s="8">
        <v>376190.48</v>
      </c>
      <c r="G578" t="s">
        <v>70</v>
      </c>
    </row>
    <row r="579" spans="1:7" x14ac:dyDescent="0.25">
      <c r="A579" t="s">
        <v>159</v>
      </c>
      <c r="B579" t="s">
        <v>33</v>
      </c>
      <c r="C579" t="s">
        <v>34</v>
      </c>
      <c r="D579" s="7">
        <v>45141</v>
      </c>
      <c r="E579" t="s">
        <v>92</v>
      </c>
      <c r="F579" s="8">
        <v>182150</v>
      </c>
      <c r="G579" t="s">
        <v>70</v>
      </c>
    </row>
    <row r="580" spans="1:7" x14ac:dyDescent="0.25">
      <c r="A580" t="s">
        <v>159</v>
      </c>
      <c r="B580" t="s">
        <v>33</v>
      </c>
      <c r="C580" t="s">
        <v>34</v>
      </c>
      <c r="D580" s="7">
        <v>45145</v>
      </c>
      <c r="E580" t="s">
        <v>188</v>
      </c>
      <c r="F580" s="8">
        <v>334284</v>
      </c>
      <c r="G580" t="s">
        <v>70</v>
      </c>
    </row>
    <row r="581" spans="1:7" x14ac:dyDescent="0.25">
      <c r="A581" t="s">
        <v>159</v>
      </c>
      <c r="B581" t="s">
        <v>38</v>
      </c>
      <c r="C581" t="s">
        <v>39</v>
      </c>
      <c r="D581" s="7">
        <v>45145</v>
      </c>
      <c r="E581" t="s">
        <v>47</v>
      </c>
      <c r="F581" s="8">
        <v>1437088</v>
      </c>
      <c r="G581" t="s">
        <v>70</v>
      </c>
    </row>
    <row r="582" spans="1:7" x14ac:dyDescent="0.25">
      <c r="A582" t="s">
        <v>159</v>
      </c>
      <c r="B582" t="s">
        <v>33</v>
      </c>
      <c r="C582" t="s">
        <v>34</v>
      </c>
      <c r="D582" s="7">
        <v>45149</v>
      </c>
      <c r="E582" t="s">
        <v>59</v>
      </c>
      <c r="F582" s="8">
        <v>825806</v>
      </c>
      <c r="G582" t="s">
        <v>70</v>
      </c>
    </row>
    <row r="583" spans="1:7" x14ac:dyDescent="0.25">
      <c r="A583" t="s">
        <v>159</v>
      </c>
      <c r="B583" t="s">
        <v>38</v>
      </c>
      <c r="C583" t="s">
        <v>34</v>
      </c>
      <c r="D583" s="7">
        <v>45155</v>
      </c>
      <c r="E583" t="s">
        <v>63</v>
      </c>
      <c r="F583" s="8">
        <v>797238.15</v>
      </c>
      <c r="G583" t="s">
        <v>70</v>
      </c>
    </row>
    <row r="584" spans="1:7" x14ac:dyDescent="0.25">
      <c r="A584" t="s">
        <v>159</v>
      </c>
      <c r="B584" t="s">
        <v>33</v>
      </c>
      <c r="C584" t="s">
        <v>34</v>
      </c>
      <c r="D584" s="7">
        <v>45164</v>
      </c>
      <c r="E584" t="s">
        <v>186</v>
      </c>
      <c r="F584" s="8">
        <v>174800</v>
      </c>
      <c r="G584" t="s">
        <v>70</v>
      </c>
    </row>
    <row r="585" spans="1:7" x14ac:dyDescent="0.25">
      <c r="A585" t="s">
        <v>159</v>
      </c>
      <c r="B585" t="s">
        <v>33</v>
      </c>
      <c r="C585" t="s">
        <v>39</v>
      </c>
      <c r="D585" s="7">
        <v>45167</v>
      </c>
      <c r="E585" t="s">
        <v>189</v>
      </c>
      <c r="F585" s="8">
        <v>950000</v>
      </c>
      <c r="G585" t="s">
        <v>70</v>
      </c>
    </row>
    <row r="586" spans="1:7" x14ac:dyDescent="0.25">
      <c r="A586" t="s">
        <v>159</v>
      </c>
      <c r="B586" t="s">
        <v>38</v>
      </c>
      <c r="C586" t="s">
        <v>39</v>
      </c>
      <c r="D586" s="7">
        <v>45167</v>
      </c>
      <c r="E586" t="s">
        <v>84</v>
      </c>
      <c r="F586" s="8">
        <v>904761</v>
      </c>
      <c r="G586" t="s">
        <v>70</v>
      </c>
    </row>
    <row r="587" spans="1:7" x14ac:dyDescent="0.25">
      <c r="A587" t="s">
        <v>159</v>
      </c>
      <c r="B587" t="s">
        <v>38</v>
      </c>
      <c r="C587" t="s">
        <v>39</v>
      </c>
      <c r="D587" s="7">
        <v>45167</v>
      </c>
      <c r="E587" t="s">
        <v>83</v>
      </c>
      <c r="F587" s="8">
        <v>437059.2</v>
      </c>
      <c r="G587" t="s">
        <v>70</v>
      </c>
    </row>
    <row r="588" spans="1:7" x14ac:dyDescent="0.25">
      <c r="A588" t="s">
        <v>159</v>
      </c>
      <c r="B588" t="s">
        <v>38</v>
      </c>
      <c r="C588" t="s">
        <v>39</v>
      </c>
      <c r="D588" s="7">
        <v>45167</v>
      </c>
      <c r="E588" t="s">
        <v>84</v>
      </c>
      <c r="F588" s="8">
        <v>404762.28</v>
      </c>
      <c r="G588" t="s">
        <v>70</v>
      </c>
    </row>
    <row r="589" spans="1:7" x14ac:dyDescent="0.25">
      <c r="A589" t="s">
        <v>159</v>
      </c>
      <c r="B589" t="s">
        <v>38</v>
      </c>
      <c r="C589" t="s">
        <v>39</v>
      </c>
      <c r="D589" s="7">
        <v>45169</v>
      </c>
      <c r="E589" t="s">
        <v>50</v>
      </c>
      <c r="F589" s="8">
        <v>380952.38</v>
      </c>
      <c r="G589" t="s">
        <v>70</v>
      </c>
    </row>
    <row r="590" spans="1:7" x14ac:dyDescent="0.25">
      <c r="A590" t="s">
        <v>159</v>
      </c>
      <c r="B590" t="s">
        <v>38</v>
      </c>
      <c r="C590" t="s">
        <v>39</v>
      </c>
      <c r="D590" s="7">
        <v>45169</v>
      </c>
      <c r="E590" t="s">
        <v>190</v>
      </c>
      <c r="F590" s="8">
        <v>476190</v>
      </c>
      <c r="G590" t="s">
        <v>70</v>
      </c>
    </row>
    <row r="591" spans="1:7" x14ac:dyDescent="0.25">
      <c r="A591" t="s">
        <v>159</v>
      </c>
      <c r="B591" t="s">
        <v>38</v>
      </c>
      <c r="C591" t="s">
        <v>34</v>
      </c>
      <c r="D591" s="7">
        <v>45172</v>
      </c>
      <c r="E591" t="s">
        <v>80</v>
      </c>
      <c r="F591" s="8">
        <v>47619.040000000001</v>
      </c>
      <c r="G591" t="s">
        <v>70</v>
      </c>
    </row>
    <row r="592" spans="1:7" x14ac:dyDescent="0.25">
      <c r="A592" t="s">
        <v>159</v>
      </c>
      <c r="B592" t="s">
        <v>33</v>
      </c>
      <c r="C592" t="s">
        <v>34</v>
      </c>
      <c r="D592" s="7">
        <v>45174</v>
      </c>
      <c r="E592" t="s">
        <v>68</v>
      </c>
      <c r="F592" s="8">
        <v>389637</v>
      </c>
      <c r="G592" t="s">
        <v>70</v>
      </c>
    </row>
    <row r="593" spans="1:7" x14ac:dyDescent="0.25">
      <c r="A593" t="s">
        <v>159</v>
      </c>
      <c r="B593" t="s">
        <v>33</v>
      </c>
      <c r="C593" t="s">
        <v>34</v>
      </c>
      <c r="D593" s="7">
        <v>45174</v>
      </c>
      <c r="E593" t="s">
        <v>68</v>
      </c>
      <c r="F593" s="8">
        <v>82335.5</v>
      </c>
      <c r="G593" t="s">
        <v>70</v>
      </c>
    </row>
    <row r="594" spans="1:7" x14ac:dyDescent="0.25">
      <c r="A594" t="s">
        <v>159</v>
      </c>
      <c r="B594" t="s">
        <v>33</v>
      </c>
      <c r="C594" t="s">
        <v>34</v>
      </c>
      <c r="D594" s="7">
        <v>45185</v>
      </c>
      <c r="E594" t="s">
        <v>191</v>
      </c>
      <c r="F594" s="8">
        <v>649070</v>
      </c>
      <c r="G594" t="s">
        <v>70</v>
      </c>
    </row>
    <row r="595" spans="1:7" x14ac:dyDescent="0.25">
      <c r="A595" t="s">
        <v>159</v>
      </c>
      <c r="B595" t="s">
        <v>38</v>
      </c>
      <c r="C595" t="s">
        <v>39</v>
      </c>
      <c r="D595" s="7">
        <v>45199</v>
      </c>
      <c r="E595" t="s">
        <v>83</v>
      </c>
      <c r="F595" s="8">
        <v>714393.59999999998</v>
      </c>
      <c r="G595" t="s">
        <v>70</v>
      </c>
    </row>
    <row r="596" spans="1:7" x14ac:dyDescent="0.25">
      <c r="A596" t="s">
        <v>159</v>
      </c>
      <c r="B596" t="s">
        <v>38</v>
      </c>
      <c r="C596" t="s">
        <v>39</v>
      </c>
      <c r="D596" s="7">
        <v>45200</v>
      </c>
      <c r="E596" t="s">
        <v>192</v>
      </c>
      <c r="F596" s="8">
        <v>47428.800000000003</v>
      </c>
      <c r="G596" t="s">
        <v>70</v>
      </c>
    </row>
    <row r="597" spans="1:7" x14ac:dyDescent="0.25">
      <c r="A597" t="s">
        <v>159</v>
      </c>
      <c r="B597" t="s">
        <v>33</v>
      </c>
      <c r="C597" t="s">
        <v>34</v>
      </c>
      <c r="D597" s="7">
        <v>45201</v>
      </c>
      <c r="E597" t="s">
        <v>193</v>
      </c>
      <c r="F597" s="8">
        <v>78207.5</v>
      </c>
      <c r="G597" t="s">
        <v>70</v>
      </c>
    </row>
    <row r="598" spans="1:7" x14ac:dyDescent="0.25">
      <c r="A598" t="s">
        <v>159</v>
      </c>
      <c r="B598" t="s">
        <v>33</v>
      </c>
      <c r="C598" t="s">
        <v>34</v>
      </c>
      <c r="D598" s="7">
        <v>45203</v>
      </c>
      <c r="E598" t="s">
        <v>185</v>
      </c>
      <c r="F598" s="8">
        <v>315720</v>
      </c>
      <c r="G598" t="s">
        <v>70</v>
      </c>
    </row>
    <row r="599" spans="1:7" x14ac:dyDescent="0.25">
      <c r="A599" t="s">
        <v>159</v>
      </c>
      <c r="B599" t="s">
        <v>33</v>
      </c>
      <c r="C599" t="s">
        <v>34</v>
      </c>
      <c r="D599" s="7">
        <v>45204</v>
      </c>
      <c r="E599" t="s">
        <v>109</v>
      </c>
      <c r="F599" s="8">
        <v>691874</v>
      </c>
      <c r="G599" t="s">
        <v>70</v>
      </c>
    </row>
    <row r="600" spans="1:7" x14ac:dyDescent="0.25">
      <c r="A600" t="s">
        <v>159</v>
      </c>
      <c r="B600" t="s">
        <v>38</v>
      </c>
      <c r="C600" t="s">
        <v>39</v>
      </c>
      <c r="D600" s="7">
        <v>45208</v>
      </c>
      <c r="E600" t="s">
        <v>194</v>
      </c>
      <c r="F600" s="8">
        <v>761436</v>
      </c>
      <c r="G600" t="s">
        <v>70</v>
      </c>
    </row>
    <row r="601" spans="1:7" x14ac:dyDescent="0.25">
      <c r="A601" t="s">
        <v>159</v>
      </c>
      <c r="B601" t="s">
        <v>33</v>
      </c>
      <c r="C601" t="s">
        <v>34</v>
      </c>
      <c r="D601" s="7">
        <v>45212</v>
      </c>
      <c r="E601" t="s">
        <v>92</v>
      </c>
      <c r="F601" s="8">
        <v>412381</v>
      </c>
      <c r="G601" t="s">
        <v>70</v>
      </c>
    </row>
    <row r="602" spans="1:7" x14ac:dyDescent="0.25">
      <c r="A602" t="s">
        <v>159</v>
      </c>
      <c r="B602" t="s">
        <v>38</v>
      </c>
      <c r="C602" t="s">
        <v>39</v>
      </c>
      <c r="D602" s="7">
        <v>45213</v>
      </c>
      <c r="E602" t="s">
        <v>195</v>
      </c>
      <c r="F602" s="8">
        <v>1559192.4</v>
      </c>
      <c r="G602" t="s">
        <v>70</v>
      </c>
    </row>
    <row r="603" spans="1:7" x14ac:dyDescent="0.25">
      <c r="A603" t="s">
        <v>159</v>
      </c>
      <c r="B603" t="s">
        <v>33</v>
      </c>
      <c r="C603" t="s">
        <v>34</v>
      </c>
      <c r="D603" s="7">
        <v>45215</v>
      </c>
      <c r="E603" t="s">
        <v>68</v>
      </c>
      <c r="F603" s="8">
        <v>46800</v>
      </c>
      <c r="G603" t="s">
        <v>70</v>
      </c>
    </row>
    <row r="604" spans="1:7" x14ac:dyDescent="0.25">
      <c r="A604" t="s">
        <v>159</v>
      </c>
      <c r="B604" t="s">
        <v>196</v>
      </c>
      <c r="C604" t="s">
        <v>34</v>
      </c>
      <c r="D604" s="7">
        <v>45216</v>
      </c>
      <c r="E604" t="s">
        <v>197</v>
      </c>
      <c r="F604" s="8">
        <v>136754.78</v>
      </c>
      <c r="G604" t="s">
        <v>70</v>
      </c>
    </row>
    <row r="605" spans="1:7" x14ac:dyDescent="0.25">
      <c r="A605" t="s">
        <v>159</v>
      </c>
      <c r="B605" t="s">
        <v>33</v>
      </c>
      <c r="C605" t="s">
        <v>34</v>
      </c>
      <c r="D605" s="7">
        <v>45225</v>
      </c>
      <c r="E605" t="s">
        <v>191</v>
      </c>
      <c r="F605" s="8">
        <v>560429</v>
      </c>
      <c r="G605" t="s">
        <v>70</v>
      </c>
    </row>
    <row r="606" spans="1:7" x14ac:dyDescent="0.25">
      <c r="A606" t="s">
        <v>159</v>
      </c>
      <c r="B606" t="s">
        <v>33</v>
      </c>
      <c r="C606" t="s">
        <v>34</v>
      </c>
      <c r="D606" s="7">
        <v>45225</v>
      </c>
      <c r="E606" t="s">
        <v>191</v>
      </c>
      <c r="F606" s="8">
        <v>158661</v>
      </c>
      <c r="G606" t="s">
        <v>70</v>
      </c>
    </row>
    <row r="607" spans="1:7" x14ac:dyDescent="0.25">
      <c r="A607" t="s">
        <v>159</v>
      </c>
      <c r="B607" t="s">
        <v>33</v>
      </c>
      <c r="C607" t="s">
        <v>34</v>
      </c>
      <c r="D607" s="7">
        <v>45226</v>
      </c>
      <c r="E607" t="s">
        <v>198</v>
      </c>
      <c r="F607" s="8">
        <v>213333.34</v>
      </c>
      <c r="G607" t="s">
        <v>70</v>
      </c>
    </row>
    <row r="608" spans="1:7" x14ac:dyDescent="0.25">
      <c r="A608" t="s">
        <v>159</v>
      </c>
      <c r="B608" t="s">
        <v>38</v>
      </c>
      <c r="C608" t="s">
        <v>39</v>
      </c>
      <c r="D608" s="7">
        <v>45226</v>
      </c>
      <c r="E608" t="s">
        <v>50</v>
      </c>
      <c r="F608" s="8">
        <v>380952.38</v>
      </c>
      <c r="G608" t="s">
        <v>70</v>
      </c>
    </row>
    <row r="609" spans="1:7" x14ac:dyDescent="0.25">
      <c r="A609" t="s">
        <v>159</v>
      </c>
      <c r="B609" t="s">
        <v>33</v>
      </c>
      <c r="C609" t="s">
        <v>34</v>
      </c>
      <c r="D609" s="7">
        <v>45229</v>
      </c>
      <c r="E609" t="s">
        <v>109</v>
      </c>
      <c r="F609" s="8">
        <v>433138</v>
      </c>
      <c r="G609" t="s">
        <v>70</v>
      </c>
    </row>
    <row r="610" spans="1:7" x14ac:dyDescent="0.25">
      <c r="A610" t="s">
        <v>159</v>
      </c>
      <c r="B610" t="s">
        <v>33</v>
      </c>
      <c r="C610" t="s">
        <v>34</v>
      </c>
      <c r="D610" s="7">
        <v>45241</v>
      </c>
      <c r="E610" t="s">
        <v>92</v>
      </c>
      <c r="F610" s="8">
        <v>195859</v>
      </c>
      <c r="G610" t="s">
        <v>70</v>
      </c>
    </row>
    <row r="611" spans="1:7" x14ac:dyDescent="0.25">
      <c r="A611" t="s">
        <v>159</v>
      </c>
      <c r="B611" t="s">
        <v>38</v>
      </c>
      <c r="C611" t="s">
        <v>39</v>
      </c>
      <c r="D611" s="7">
        <v>45245</v>
      </c>
      <c r="E611" t="s">
        <v>104</v>
      </c>
      <c r="F611" s="8">
        <v>2255487</v>
      </c>
      <c r="G611" t="s">
        <v>70</v>
      </c>
    </row>
    <row r="612" spans="1:7" x14ac:dyDescent="0.25">
      <c r="A612" t="s">
        <v>159</v>
      </c>
      <c r="B612" t="s">
        <v>33</v>
      </c>
      <c r="C612" t="s">
        <v>34</v>
      </c>
      <c r="D612" s="7">
        <v>45246</v>
      </c>
      <c r="E612" t="s">
        <v>191</v>
      </c>
      <c r="F612" s="8">
        <v>596468</v>
      </c>
      <c r="G612" t="s">
        <v>70</v>
      </c>
    </row>
    <row r="613" spans="1:7" x14ac:dyDescent="0.25">
      <c r="A613" t="s">
        <v>159</v>
      </c>
      <c r="B613" t="s">
        <v>38</v>
      </c>
      <c r="C613" t="s">
        <v>39</v>
      </c>
      <c r="D613" s="7">
        <v>45246</v>
      </c>
      <c r="E613" t="s">
        <v>104</v>
      </c>
      <c r="F613" s="8">
        <v>2233635</v>
      </c>
      <c r="G613" t="s">
        <v>70</v>
      </c>
    </row>
    <row r="614" spans="1:7" x14ac:dyDescent="0.25">
      <c r="A614" t="s">
        <v>159</v>
      </c>
      <c r="B614" t="s">
        <v>33</v>
      </c>
      <c r="C614" t="s">
        <v>34</v>
      </c>
      <c r="D614" s="7">
        <v>45250</v>
      </c>
      <c r="E614" t="s">
        <v>37</v>
      </c>
      <c r="F614" s="8">
        <v>1360476</v>
      </c>
      <c r="G614" t="s">
        <v>70</v>
      </c>
    </row>
    <row r="615" spans="1:7" x14ac:dyDescent="0.25">
      <c r="A615" t="s">
        <v>159</v>
      </c>
      <c r="B615" t="s">
        <v>33</v>
      </c>
      <c r="C615" t="s">
        <v>34</v>
      </c>
      <c r="D615" s="7">
        <v>45257</v>
      </c>
      <c r="E615" t="s">
        <v>191</v>
      </c>
      <c r="F615" s="8">
        <v>139050</v>
      </c>
      <c r="G615" t="s">
        <v>70</v>
      </c>
    </row>
    <row r="616" spans="1:7" x14ac:dyDescent="0.25">
      <c r="A616" t="s">
        <v>159</v>
      </c>
      <c r="B616" t="s">
        <v>33</v>
      </c>
      <c r="C616" t="s">
        <v>34</v>
      </c>
      <c r="D616" s="7">
        <v>45258</v>
      </c>
      <c r="E616" t="s">
        <v>199</v>
      </c>
      <c r="F616" s="8">
        <v>150302</v>
      </c>
      <c r="G616" t="s">
        <v>70</v>
      </c>
    </row>
    <row r="617" spans="1:7" x14ac:dyDescent="0.25">
      <c r="A617" t="s">
        <v>159</v>
      </c>
      <c r="B617" t="s">
        <v>38</v>
      </c>
      <c r="C617" t="s">
        <v>39</v>
      </c>
      <c r="D617" s="7">
        <v>45260</v>
      </c>
      <c r="E617" t="s">
        <v>84</v>
      </c>
      <c r="F617" s="8">
        <v>904762</v>
      </c>
      <c r="G617" t="s">
        <v>70</v>
      </c>
    </row>
    <row r="618" spans="1:7" x14ac:dyDescent="0.25">
      <c r="A618" t="s">
        <v>159</v>
      </c>
      <c r="B618" t="s">
        <v>38</v>
      </c>
      <c r="C618" t="s">
        <v>34</v>
      </c>
      <c r="D618" s="7">
        <v>45260</v>
      </c>
      <c r="E618" t="s">
        <v>83</v>
      </c>
      <c r="F618" s="8">
        <v>1594239</v>
      </c>
      <c r="G618" t="s">
        <v>70</v>
      </c>
    </row>
    <row r="619" spans="1:7" x14ac:dyDescent="0.25">
      <c r="A619" t="s">
        <v>159</v>
      </c>
      <c r="B619" t="s">
        <v>33</v>
      </c>
      <c r="C619" t="s">
        <v>39</v>
      </c>
      <c r="D619" s="7">
        <v>45261</v>
      </c>
      <c r="E619" t="s">
        <v>50</v>
      </c>
      <c r="F619" s="8">
        <v>308380</v>
      </c>
      <c r="G619" t="s">
        <v>70</v>
      </c>
    </row>
    <row r="620" spans="1:7" x14ac:dyDescent="0.25">
      <c r="A620" t="s">
        <v>159</v>
      </c>
      <c r="B620" t="s">
        <v>33</v>
      </c>
      <c r="C620" t="s">
        <v>39</v>
      </c>
      <c r="D620" s="7">
        <v>45261</v>
      </c>
      <c r="E620" t="s">
        <v>83</v>
      </c>
      <c r="F620" s="8">
        <v>3021428.58</v>
      </c>
      <c r="G620" t="s">
        <v>70</v>
      </c>
    </row>
    <row r="621" spans="1:7" x14ac:dyDescent="0.25">
      <c r="A621" t="s">
        <v>159</v>
      </c>
      <c r="B621" t="s">
        <v>33</v>
      </c>
      <c r="C621" t="s">
        <v>34</v>
      </c>
      <c r="D621" s="7">
        <v>45261</v>
      </c>
      <c r="E621" t="s">
        <v>75</v>
      </c>
      <c r="F621" s="8">
        <v>936476.19</v>
      </c>
      <c r="G621" t="s">
        <v>70</v>
      </c>
    </row>
    <row r="622" spans="1:7" x14ac:dyDescent="0.25">
      <c r="A622" t="s">
        <v>159</v>
      </c>
      <c r="B622" t="s">
        <v>33</v>
      </c>
      <c r="C622" t="s">
        <v>34</v>
      </c>
      <c r="D622" s="7">
        <v>45264</v>
      </c>
      <c r="E622" t="s">
        <v>191</v>
      </c>
      <c r="F622" s="8">
        <v>277144</v>
      </c>
      <c r="G622" t="s">
        <v>70</v>
      </c>
    </row>
    <row r="623" spans="1:7" x14ac:dyDescent="0.25">
      <c r="A623" t="s">
        <v>159</v>
      </c>
      <c r="B623" t="s">
        <v>33</v>
      </c>
      <c r="C623" t="s">
        <v>34</v>
      </c>
      <c r="D623" s="7">
        <v>45264</v>
      </c>
      <c r="E623" t="s">
        <v>92</v>
      </c>
      <c r="F623" s="8">
        <v>308372</v>
      </c>
      <c r="G623" t="s">
        <v>70</v>
      </c>
    </row>
    <row r="624" spans="1:7" x14ac:dyDescent="0.25">
      <c r="A624" t="s">
        <v>159</v>
      </c>
      <c r="B624" t="s">
        <v>33</v>
      </c>
      <c r="C624" t="s">
        <v>34</v>
      </c>
      <c r="D624" s="7">
        <v>45266</v>
      </c>
      <c r="E624" t="s">
        <v>199</v>
      </c>
      <c r="F624" s="8">
        <v>149999</v>
      </c>
      <c r="G624" t="s">
        <v>70</v>
      </c>
    </row>
    <row r="625" spans="1:7" x14ac:dyDescent="0.25">
      <c r="A625" t="s">
        <v>159</v>
      </c>
      <c r="B625" t="s">
        <v>33</v>
      </c>
      <c r="C625" t="s">
        <v>34</v>
      </c>
      <c r="D625" s="7">
        <v>45266</v>
      </c>
      <c r="E625" t="s">
        <v>200</v>
      </c>
      <c r="F625" s="8">
        <v>110467.9</v>
      </c>
      <c r="G625" t="s">
        <v>70</v>
      </c>
    </row>
    <row r="626" spans="1:7" x14ac:dyDescent="0.25">
      <c r="A626" t="s">
        <v>159</v>
      </c>
      <c r="B626" t="s">
        <v>33</v>
      </c>
      <c r="C626" t="s">
        <v>34</v>
      </c>
      <c r="D626" s="7">
        <v>45269</v>
      </c>
      <c r="E626" t="s">
        <v>201</v>
      </c>
      <c r="F626" s="8">
        <v>14285.71</v>
      </c>
      <c r="G626" t="s">
        <v>70</v>
      </c>
    </row>
    <row r="627" spans="1:7" x14ac:dyDescent="0.25">
      <c r="A627" t="s">
        <v>159</v>
      </c>
      <c r="B627" t="s">
        <v>33</v>
      </c>
      <c r="C627" t="s">
        <v>34</v>
      </c>
      <c r="D627" s="7">
        <v>45269</v>
      </c>
      <c r="E627" t="s">
        <v>199</v>
      </c>
      <c r="F627" s="8">
        <v>285371</v>
      </c>
      <c r="G627" t="s">
        <v>70</v>
      </c>
    </row>
    <row r="628" spans="1:7" x14ac:dyDescent="0.25">
      <c r="A628" t="s">
        <v>159</v>
      </c>
      <c r="B628" t="s">
        <v>33</v>
      </c>
      <c r="C628" t="s">
        <v>34</v>
      </c>
      <c r="D628" s="7">
        <v>45271</v>
      </c>
      <c r="E628" t="s">
        <v>202</v>
      </c>
      <c r="F628" s="8">
        <v>765000</v>
      </c>
      <c r="G628" t="s">
        <v>70</v>
      </c>
    </row>
    <row r="629" spans="1:7" x14ac:dyDescent="0.25">
      <c r="A629" t="s">
        <v>159</v>
      </c>
      <c r="B629" t="s">
        <v>33</v>
      </c>
      <c r="C629" t="s">
        <v>34</v>
      </c>
      <c r="D629" s="7">
        <v>45272</v>
      </c>
      <c r="E629" t="s">
        <v>185</v>
      </c>
      <c r="F629" s="8">
        <v>456571.3</v>
      </c>
      <c r="G629" t="s">
        <v>70</v>
      </c>
    </row>
    <row r="630" spans="1:7" x14ac:dyDescent="0.25">
      <c r="A630" t="s">
        <v>159</v>
      </c>
      <c r="B630" t="s">
        <v>33</v>
      </c>
      <c r="C630" t="s">
        <v>34</v>
      </c>
      <c r="D630" s="7">
        <v>45272</v>
      </c>
      <c r="E630" t="s">
        <v>191</v>
      </c>
      <c r="F630" s="8">
        <v>385532</v>
      </c>
      <c r="G630" t="s">
        <v>70</v>
      </c>
    </row>
    <row r="631" spans="1:7" x14ac:dyDescent="0.25">
      <c r="A631" t="s">
        <v>159</v>
      </c>
      <c r="B631" t="s">
        <v>196</v>
      </c>
      <c r="C631" t="s">
        <v>34</v>
      </c>
      <c r="D631" s="7">
        <v>45276</v>
      </c>
      <c r="E631" t="s">
        <v>197</v>
      </c>
      <c r="F631" s="8">
        <v>703665.11</v>
      </c>
      <c r="G631" t="s">
        <v>70</v>
      </c>
    </row>
    <row r="632" spans="1:7" x14ac:dyDescent="0.25">
      <c r="A632" t="s">
        <v>159</v>
      </c>
      <c r="B632" t="s">
        <v>33</v>
      </c>
      <c r="C632" t="s">
        <v>34</v>
      </c>
      <c r="D632" s="7">
        <v>45283</v>
      </c>
      <c r="E632" t="s">
        <v>82</v>
      </c>
      <c r="F632" s="8">
        <v>368290</v>
      </c>
      <c r="G632" t="s">
        <v>70</v>
      </c>
    </row>
    <row r="633" spans="1:7" x14ac:dyDescent="0.25">
      <c r="A633" t="s">
        <v>159</v>
      </c>
      <c r="B633" t="s">
        <v>33</v>
      </c>
      <c r="C633" t="s">
        <v>34</v>
      </c>
      <c r="D633" s="7">
        <v>45286</v>
      </c>
      <c r="E633" t="s">
        <v>199</v>
      </c>
      <c r="F633" s="8">
        <v>131143.1</v>
      </c>
      <c r="G633" t="s">
        <v>70</v>
      </c>
    </row>
    <row r="634" spans="1:7" x14ac:dyDescent="0.25">
      <c r="A634" t="s">
        <v>159</v>
      </c>
      <c r="B634" t="s">
        <v>33</v>
      </c>
      <c r="C634" t="s">
        <v>34</v>
      </c>
      <c r="D634" s="7">
        <v>45287</v>
      </c>
      <c r="E634" t="s">
        <v>73</v>
      </c>
      <c r="F634" s="8">
        <v>266195</v>
      </c>
      <c r="G634" t="s">
        <v>70</v>
      </c>
    </row>
    <row r="635" spans="1:7" x14ac:dyDescent="0.25">
      <c r="A635" t="s">
        <v>159</v>
      </c>
      <c r="B635" t="s">
        <v>33</v>
      </c>
      <c r="C635" t="s">
        <v>34</v>
      </c>
      <c r="D635" s="7">
        <v>45289</v>
      </c>
      <c r="E635" t="s">
        <v>191</v>
      </c>
      <c r="F635" s="8">
        <v>400925</v>
      </c>
      <c r="G635" t="s">
        <v>70</v>
      </c>
    </row>
    <row r="636" spans="1:7" x14ac:dyDescent="0.25">
      <c r="A636" t="s">
        <v>159</v>
      </c>
      <c r="B636" t="s">
        <v>38</v>
      </c>
      <c r="C636" t="s">
        <v>34</v>
      </c>
      <c r="D636" s="7">
        <v>45291</v>
      </c>
      <c r="E636" t="s">
        <v>50</v>
      </c>
      <c r="F636" s="8">
        <v>285714.55</v>
      </c>
      <c r="G636" t="s">
        <v>70</v>
      </c>
    </row>
    <row r="637" spans="1:7" x14ac:dyDescent="0.25">
      <c r="A637" t="s">
        <v>159</v>
      </c>
      <c r="B637" t="s">
        <v>196</v>
      </c>
      <c r="C637" t="s">
        <v>34</v>
      </c>
      <c r="D637" s="7">
        <v>45293</v>
      </c>
      <c r="E637" t="s">
        <v>203</v>
      </c>
      <c r="F637" s="8">
        <v>603142.38</v>
      </c>
      <c r="G637" t="s">
        <v>70</v>
      </c>
    </row>
    <row r="638" spans="1:7" x14ac:dyDescent="0.25">
      <c r="A638" t="s">
        <v>159</v>
      </c>
      <c r="B638" t="s">
        <v>33</v>
      </c>
      <c r="C638" t="s">
        <v>34</v>
      </c>
      <c r="D638" s="7">
        <v>45296</v>
      </c>
      <c r="E638" t="s">
        <v>59</v>
      </c>
      <c r="F638" s="8">
        <v>615512</v>
      </c>
      <c r="G638" t="s">
        <v>70</v>
      </c>
    </row>
    <row r="639" spans="1:7" x14ac:dyDescent="0.25">
      <c r="A639" t="s">
        <v>159</v>
      </c>
      <c r="B639" t="s">
        <v>33</v>
      </c>
      <c r="C639" t="s">
        <v>34</v>
      </c>
      <c r="D639" s="7">
        <v>45300</v>
      </c>
      <c r="E639" t="s">
        <v>191</v>
      </c>
      <c r="F639" s="8">
        <v>361619.20000000001</v>
      </c>
      <c r="G639" t="s">
        <v>70</v>
      </c>
    </row>
    <row r="640" spans="1:7" x14ac:dyDescent="0.25">
      <c r="A640" t="s">
        <v>159</v>
      </c>
      <c r="B640" t="s">
        <v>33</v>
      </c>
      <c r="C640" t="s">
        <v>34</v>
      </c>
      <c r="D640" s="7">
        <v>45302</v>
      </c>
      <c r="E640" t="s">
        <v>200</v>
      </c>
      <c r="F640" s="8">
        <v>194428.4</v>
      </c>
      <c r="G640" t="s">
        <v>70</v>
      </c>
    </row>
    <row r="641" spans="1:7" x14ac:dyDescent="0.25">
      <c r="A641" t="s">
        <v>159</v>
      </c>
      <c r="B641" t="s">
        <v>33</v>
      </c>
      <c r="C641" t="s">
        <v>34</v>
      </c>
      <c r="D641" s="7">
        <v>45303</v>
      </c>
      <c r="E641" t="s">
        <v>199</v>
      </c>
      <c r="F641" s="8">
        <v>337000</v>
      </c>
      <c r="G641" t="s">
        <v>70</v>
      </c>
    </row>
    <row r="642" spans="1:7" x14ac:dyDescent="0.25">
      <c r="A642" t="s">
        <v>159</v>
      </c>
      <c r="B642" t="s">
        <v>38</v>
      </c>
      <c r="C642" t="s">
        <v>34</v>
      </c>
      <c r="D642" s="7">
        <v>45303</v>
      </c>
      <c r="E642" t="s">
        <v>189</v>
      </c>
      <c r="F642" s="8">
        <v>952381.02</v>
      </c>
      <c r="G642" t="s">
        <v>70</v>
      </c>
    </row>
    <row r="643" spans="1:7" x14ac:dyDescent="0.25">
      <c r="A643" t="s">
        <v>159</v>
      </c>
      <c r="B643" t="s">
        <v>33</v>
      </c>
      <c r="C643" t="s">
        <v>34</v>
      </c>
      <c r="D643" s="7">
        <v>45313</v>
      </c>
      <c r="E643" t="s">
        <v>202</v>
      </c>
      <c r="F643" s="8">
        <v>523810</v>
      </c>
      <c r="G643" t="s">
        <v>70</v>
      </c>
    </row>
    <row r="644" spans="1:7" x14ac:dyDescent="0.25">
      <c r="A644" t="s">
        <v>159</v>
      </c>
      <c r="B644" t="s">
        <v>33</v>
      </c>
      <c r="C644" t="s">
        <v>34</v>
      </c>
      <c r="D644" s="7">
        <v>45314</v>
      </c>
      <c r="E644" t="s">
        <v>92</v>
      </c>
      <c r="F644" s="8">
        <v>303713.90000000002</v>
      </c>
      <c r="G644" t="s">
        <v>70</v>
      </c>
    </row>
    <row r="645" spans="1:7" x14ac:dyDescent="0.25">
      <c r="A645" t="s">
        <v>159</v>
      </c>
      <c r="B645" t="s">
        <v>33</v>
      </c>
      <c r="C645" t="s">
        <v>34</v>
      </c>
      <c r="D645" s="7">
        <v>45320</v>
      </c>
      <c r="E645" t="s">
        <v>202</v>
      </c>
      <c r="F645" s="8">
        <v>521903.8</v>
      </c>
      <c r="G645" t="s">
        <v>70</v>
      </c>
    </row>
    <row r="646" spans="1:7" x14ac:dyDescent="0.25">
      <c r="A646" t="s">
        <v>159</v>
      </c>
      <c r="B646" t="s">
        <v>33</v>
      </c>
      <c r="C646" t="s">
        <v>34</v>
      </c>
      <c r="D646" s="7">
        <v>45320</v>
      </c>
      <c r="E646" t="s">
        <v>82</v>
      </c>
      <c r="F646" s="8">
        <v>157525</v>
      </c>
      <c r="G646" t="s">
        <v>70</v>
      </c>
    </row>
    <row r="647" spans="1:7" x14ac:dyDescent="0.25">
      <c r="A647" t="s">
        <v>159</v>
      </c>
      <c r="B647" t="s">
        <v>33</v>
      </c>
      <c r="C647" t="s">
        <v>34</v>
      </c>
      <c r="D647" s="7">
        <v>45321</v>
      </c>
      <c r="E647" t="s">
        <v>37</v>
      </c>
      <c r="F647" s="8">
        <v>476200</v>
      </c>
      <c r="G647" t="s">
        <v>70</v>
      </c>
    </row>
    <row r="648" spans="1:7" x14ac:dyDescent="0.25">
      <c r="A648" t="s">
        <v>159</v>
      </c>
      <c r="B648" t="s">
        <v>38</v>
      </c>
      <c r="C648" t="s">
        <v>39</v>
      </c>
      <c r="D648" s="7">
        <v>45322</v>
      </c>
      <c r="E648" t="s">
        <v>75</v>
      </c>
      <c r="F648" s="8">
        <v>3110190</v>
      </c>
      <c r="G648" t="s">
        <v>70</v>
      </c>
    </row>
    <row r="649" spans="1:7" x14ac:dyDescent="0.25">
      <c r="A649" t="s">
        <v>159</v>
      </c>
      <c r="B649" t="s">
        <v>38</v>
      </c>
      <c r="C649" t="s">
        <v>39</v>
      </c>
      <c r="D649" s="7">
        <v>45322</v>
      </c>
      <c r="E649" t="s">
        <v>47</v>
      </c>
      <c r="F649" s="8">
        <v>758095</v>
      </c>
      <c r="G649" t="s">
        <v>70</v>
      </c>
    </row>
    <row r="650" spans="1:7" x14ac:dyDescent="0.25">
      <c r="A650" t="s">
        <v>159</v>
      </c>
      <c r="B650" t="s">
        <v>38</v>
      </c>
      <c r="C650" t="s">
        <v>39</v>
      </c>
      <c r="D650" s="7">
        <v>45325</v>
      </c>
      <c r="E650" t="s">
        <v>98</v>
      </c>
      <c r="F650" s="8">
        <v>3060117.5</v>
      </c>
      <c r="G650" t="s">
        <v>70</v>
      </c>
    </row>
    <row r="651" spans="1:7" x14ac:dyDescent="0.25">
      <c r="A651" t="s">
        <v>159</v>
      </c>
      <c r="B651" t="s">
        <v>33</v>
      </c>
      <c r="C651" t="s">
        <v>34</v>
      </c>
      <c r="D651" s="7">
        <v>45328</v>
      </c>
      <c r="E651" t="s">
        <v>82</v>
      </c>
      <c r="F651" s="8">
        <v>549390.5</v>
      </c>
      <c r="G651" t="s">
        <v>70</v>
      </c>
    </row>
    <row r="652" spans="1:7" x14ac:dyDescent="0.25">
      <c r="A652" t="s">
        <v>159</v>
      </c>
      <c r="B652" t="s">
        <v>33</v>
      </c>
      <c r="C652" t="s">
        <v>34</v>
      </c>
      <c r="D652" s="7">
        <v>45332</v>
      </c>
      <c r="E652" t="s">
        <v>200</v>
      </c>
      <c r="F652" s="8">
        <v>167048.9</v>
      </c>
      <c r="G652" t="s">
        <v>70</v>
      </c>
    </row>
    <row r="653" spans="1:7" x14ac:dyDescent="0.25">
      <c r="A653" t="s">
        <v>159</v>
      </c>
      <c r="B653" t="s">
        <v>33</v>
      </c>
      <c r="C653" t="s">
        <v>34</v>
      </c>
      <c r="D653" s="7">
        <v>45338</v>
      </c>
      <c r="E653" t="s">
        <v>204</v>
      </c>
      <c r="F653" s="8">
        <v>99190.399999999994</v>
      </c>
      <c r="G653" t="s">
        <v>70</v>
      </c>
    </row>
    <row r="654" spans="1:7" x14ac:dyDescent="0.25">
      <c r="A654" t="s">
        <v>159</v>
      </c>
      <c r="B654" t="s">
        <v>38</v>
      </c>
      <c r="C654" t="s">
        <v>39</v>
      </c>
      <c r="D654" s="7">
        <v>45338</v>
      </c>
      <c r="E654" t="s">
        <v>83</v>
      </c>
      <c r="F654" s="8">
        <v>474509.8</v>
      </c>
      <c r="G654" t="s">
        <v>70</v>
      </c>
    </row>
    <row r="655" spans="1:7" x14ac:dyDescent="0.25">
      <c r="A655" t="s">
        <v>159</v>
      </c>
      <c r="B655" t="s">
        <v>33</v>
      </c>
      <c r="C655" t="s">
        <v>34</v>
      </c>
      <c r="D655" s="7">
        <v>45344</v>
      </c>
      <c r="E655" t="s">
        <v>97</v>
      </c>
      <c r="F655" s="8">
        <v>98000</v>
      </c>
      <c r="G655" t="s">
        <v>70</v>
      </c>
    </row>
    <row r="656" spans="1:7" x14ac:dyDescent="0.25">
      <c r="A656" t="s">
        <v>159</v>
      </c>
      <c r="B656" t="s">
        <v>33</v>
      </c>
      <c r="C656" t="s">
        <v>34</v>
      </c>
      <c r="D656" s="7">
        <v>45350</v>
      </c>
      <c r="E656" t="s">
        <v>191</v>
      </c>
      <c r="F656" s="8">
        <v>198571</v>
      </c>
      <c r="G656" t="s">
        <v>70</v>
      </c>
    </row>
    <row r="657" spans="1:7" x14ac:dyDescent="0.25">
      <c r="A657" t="s">
        <v>159</v>
      </c>
      <c r="B657" t="s">
        <v>33</v>
      </c>
      <c r="C657" t="s">
        <v>34</v>
      </c>
      <c r="D657" s="7">
        <v>45350</v>
      </c>
      <c r="E657" t="s">
        <v>205</v>
      </c>
      <c r="F657" s="8">
        <v>10476.200000000001</v>
      </c>
      <c r="G657" t="s">
        <v>70</v>
      </c>
    </row>
    <row r="658" spans="1:7" x14ac:dyDescent="0.25">
      <c r="A658" t="s">
        <v>159</v>
      </c>
      <c r="B658" t="s">
        <v>33</v>
      </c>
      <c r="C658" t="s">
        <v>39</v>
      </c>
      <c r="D658" s="7">
        <v>45351</v>
      </c>
      <c r="E658" t="s">
        <v>75</v>
      </c>
      <c r="F658" s="8">
        <v>238100</v>
      </c>
      <c r="G658" t="s">
        <v>70</v>
      </c>
    </row>
    <row r="659" spans="1:7" x14ac:dyDescent="0.25">
      <c r="A659" t="s">
        <v>159</v>
      </c>
      <c r="B659" t="s">
        <v>33</v>
      </c>
      <c r="C659" t="s">
        <v>39</v>
      </c>
      <c r="D659" s="7">
        <v>45351</v>
      </c>
      <c r="E659" t="s">
        <v>83</v>
      </c>
      <c r="F659" s="8">
        <v>1714286</v>
      </c>
      <c r="G659" t="s">
        <v>70</v>
      </c>
    </row>
    <row r="660" spans="1:7" x14ac:dyDescent="0.25">
      <c r="A660" t="s">
        <v>159</v>
      </c>
      <c r="B660" t="s">
        <v>33</v>
      </c>
      <c r="C660" t="s">
        <v>39</v>
      </c>
      <c r="D660" s="7">
        <v>45351</v>
      </c>
      <c r="E660" t="s">
        <v>50</v>
      </c>
      <c r="F660" s="8">
        <v>466667</v>
      </c>
      <c r="G660" t="s">
        <v>70</v>
      </c>
    </row>
    <row r="661" spans="1:7" x14ac:dyDescent="0.25">
      <c r="A661" t="s">
        <v>159</v>
      </c>
      <c r="B661" t="s">
        <v>33</v>
      </c>
      <c r="C661" t="s">
        <v>39</v>
      </c>
      <c r="D661" s="7">
        <v>45351</v>
      </c>
      <c r="E661" t="s">
        <v>206</v>
      </c>
      <c r="F661" s="8">
        <v>152381</v>
      </c>
      <c r="G661" t="s">
        <v>70</v>
      </c>
    </row>
    <row r="662" spans="1:7" x14ac:dyDescent="0.25">
      <c r="A662" t="s">
        <v>159</v>
      </c>
      <c r="B662" t="s">
        <v>33</v>
      </c>
      <c r="C662" t="s">
        <v>34</v>
      </c>
      <c r="D662" s="7">
        <v>45351</v>
      </c>
      <c r="E662" t="s">
        <v>92</v>
      </c>
      <c r="F662" s="8">
        <v>294090</v>
      </c>
      <c r="G662" t="s">
        <v>70</v>
      </c>
    </row>
    <row r="663" spans="1:7" x14ac:dyDescent="0.25">
      <c r="A663" t="s">
        <v>159</v>
      </c>
      <c r="B663" t="s">
        <v>33</v>
      </c>
      <c r="C663" t="s">
        <v>34</v>
      </c>
      <c r="D663" s="7">
        <v>45356</v>
      </c>
      <c r="E663" t="s">
        <v>97</v>
      </c>
      <c r="F663" s="8">
        <v>119047.5</v>
      </c>
      <c r="G663" t="s">
        <v>70</v>
      </c>
    </row>
    <row r="664" spans="1:7" x14ac:dyDescent="0.25">
      <c r="A664" t="s">
        <v>159</v>
      </c>
      <c r="B664" t="s">
        <v>38</v>
      </c>
      <c r="C664" t="s">
        <v>39</v>
      </c>
      <c r="D664" s="7">
        <v>45356</v>
      </c>
      <c r="E664" t="s">
        <v>207</v>
      </c>
      <c r="F664" s="8">
        <v>405000</v>
      </c>
      <c r="G664" t="s">
        <v>70</v>
      </c>
    </row>
    <row r="665" spans="1:7" x14ac:dyDescent="0.25">
      <c r="A665" t="s">
        <v>159</v>
      </c>
      <c r="B665" t="s">
        <v>33</v>
      </c>
      <c r="C665" t="s">
        <v>34</v>
      </c>
      <c r="D665" s="7">
        <v>45357</v>
      </c>
      <c r="E665" t="s">
        <v>82</v>
      </c>
      <c r="F665" s="8">
        <v>182286</v>
      </c>
      <c r="G665" t="s">
        <v>70</v>
      </c>
    </row>
    <row r="666" spans="1:7" x14ac:dyDescent="0.25">
      <c r="A666" t="s">
        <v>159</v>
      </c>
      <c r="B666" t="s">
        <v>33</v>
      </c>
      <c r="C666" t="s">
        <v>34</v>
      </c>
      <c r="D666" s="7">
        <v>45363</v>
      </c>
      <c r="E666" t="s">
        <v>82</v>
      </c>
      <c r="F666" s="8">
        <v>216190</v>
      </c>
      <c r="G666" t="s">
        <v>70</v>
      </c>
    </row>
    <row r="667" spans="1:7" x14ac:dyDescent="0.25">
      <c r="A667" t="s">
        <v>159</v>
      </c>
      <c r="B667" t="s">
        <v>33</v>
      </c>
      <c r="C667" t="s">
        <v>34</v>
      </c>
      <c r="D667" s="7">
        <v>45364</v>
      </c>
      <c r="E667" t="s">
        <v>191</v>
      </c>
      <c r="F667" s="8">
        <v>660489</v>
      </c>
      <c r="G667" t="s">
        <v>70</v>
      </c>
    </row>
    <row r="668" spans="1:7" x14ac:dyDescent="0.25">
      <c r="A668" t="s">
        <v>159</v>
      </c>
      <c r="B668" t="s">
        <v>33</v>
      </c>
      <c r="C668" t="s">
        <v>34</v>
      </c>
      <c r="D668" s="7">
        <v>45372</v>
      </c>
      <c r="E668" t="s">
        <v>73</v>
      </c>
      <c r="F668" s="8">
        <v>239095.1</v>
      </c>
      <c r="G668" t="s">
        <v>70</v>
      </c>
    </row>
    <row r="669" spans="1:7" x14ac:dyDescent="0.25">
      <c r="A669" t="s">
        <v>159</v>
      </c>
      <c r="B669" t="s">
        <v>33</v>
      </c>
      <c r="C669" t="s">
        <v>39</v>
      </c>
      <c r="D669" s="7">
        <v>45381</v>
      </c>
      <c r="E669" t="s">
        <v>206</v>
      </c>
      <c r="F669" s="8">
        <v>72236.2</v>
      </c>
      <c r="G669" t="s">
        <v>70</v>
      </c>
    </row>
    <row r="670" spans="1:7" x14ac:dyDescent="0.25">
      <c r="A670" t="s">
        <v>159</v>
      </c>
      <c r="B670" t="s">
        <v>33</v>
      </c>
      <c r="C670" t="s">
        <v>34</v>
      </c>
      <c r="D670" s="7">
        <v>45383</v>
      </c>
      <c r="E670" t="s">
        <v>59</v>
      </c>
      <c r="F670" s="8">
        <v>630952</v>
      </c>
      <c r="G670" t="s">
        <v>103</v>
      </c>
    </row>
    <row r="671" spans="1:7" x14ac:dyDescent="0.25">
      <c r="A671" t="s">
        <v>159</v>
      </c>
      <c r="B671" t="s">
        <v>33</v>
      </c>
      <c r="C671" t="s">
        <v>34</v>
      </c>
      <c r="D671" s="7">
        <v>45383</v>
      </c>
      <c r="E671" t="s">
        <v>97</v>
      </c>
      <c r="F671" s="8">
        <v>235239</v>
      </c>
      <c r="G671" t="s">
        <v>103</v>
      </c>
    </row>
    <row r="672" spans="1:7" x14ac:dyDescent="0.25">
      <c r="A672" t="s">
        <v>159</v>
      </c>
      <c r="B672" t="s">
        <v>38</v>
      </c>
      <c r="C672" t="s">
        <v>39</v>
      </c>
      <c r="D672" s="7">
        <v>45385</v>
      </c>
      <c r="E672" t="s">
        <v>195</v>
      </c>
      <c r="F672" s="8">
        <v>3229955</v>
      </c>
      <c r="G672" t="s">
        <v>103</v>
      </c>
    </row>
    <row r="673" spans="1:7" x14ac:dyDescent="0.25">
      <c r="A673" t="s">
        <v>159</v>
      </c>
      <c r="B673" t="s">
        <v>38</v>
      </c>
      <c r="C673" t="s">
        <v>39</v>
      </c>
      <c r="D673" s="7">
        <v>45385</v>
      </c>
      <c r="E673" t="s">
        <v>195</v>
      </c>
      <c r="F673" s="8">
        <v>427011</v>
      </c>
      <c r="G673" t="s">
        <v>103</v>
      </c>
    </row>
    <row r="674" spans="1:7" x14ac:dyDescent="0.25">
      <c r="A674" t="s">
        <v>159</v>
      </c>
      <c r="B674" t="s">
        <v>33</v>
      </c>
      <c r="C674" t="s">
        <v>34</v>
      </c>
      <c r="D674" s="7">
        <v>45394</v>
      </c>
      <c r="E674" t="s">
        <v>208</v>
      </c>
      <c r="F674" s="8">
        <v>147714.6</v>
      </c>
      <c r="G674" t="s">
        <v>103</v>
      </c>
    </row>
    <row r="675" spans="1:7" x14ac:dyDescent="0.25">
      <c r="A675" t="s">
        <v>159</v>
      </c>
      <c r="B675" t="s">
        <v>38</v>
      </c>
      <c r="C675" t="s">
        <v>34</v>
      </c>
      <c r="D675" s="7">
        <v>45397</v>
      </c>
      <c r="E675" t="s">
        <v>204</v>
      </c>
      <c r="F675" s="8">
        <v>43000</v>
      </c>
      <c r="G675" t="s">
        <v>103</v>
      </c>
    </row>
    <row r="676" spans="1:7" x14ac:dyDescent="0.25">
      <c r="A676" t="s">
        <v>159</v>
      </c>
      <c r="B676" t="s">
        <v>33</v>
      </c>
      <c r="C676" t="s">
        <v>34</v>
      </c>
      <c r="D676" s="7">
        <v>45400</v>
      </c>
      <c r="E676" t="s">
        <v>208</v>
      </c>
      <c r="F676" s="8">
        <v>157650</v>
      </c>
      <c r="G676" t="s">
        <v>103</v>
      </c>
    </row>
    <row r="677" spans="1:7" x14ac:dyDescent="0.25">
      <c r="A677" t="s">
        <v>159</v>
      </c>
      <c r="B677" t="s">
        <v>33</v>
      </c>
      <c r="C677" t="s">
        <v>34</v>
      </c>
      <c r="D677" s="7">
        <v>45401</v>
      </c>
      <c r="E677" t="s">
        <v>97</v>
      </c>
      <c r="F677" s="8">
        <v>154763</v>
      </c>
      <c r="G677" t="s">
        <v>103</v>
      </c>
    </row>
    <row r="678" spans="1:7" x14ac:dyDescent="0.25">
      <c r="A678" t="s">
        <v>159</v>
      </c>
      <c r="B678" t="s">
        <v>33</v>
      </c>
      <c r="C678" t="s">
        <v>34</v>
      </c>
      <c r="D678" s="7">
        <v>45401</v>
      </c>
      <c r="E678" t="s">
        <v>191</v>
      </c>
      <c r="F678" s="8">
        <v>372645</v>
      </c>
      <c r="G678" t="s">
        <v>103</v>
      </c>
    </row>
    <row r="679" spans="1:7" x14ac:dyDescent="0.25">
      <c r="A679" t="s">
        <v>159</v>
      </c>
      <c r="B679" t="s">
        <v>33</v>
      </c>
      <c r="C679" t="s">
        <v>34</v>
      </c>
      <c r="D679" s="7">
        <v>45412</v>
      </c>
      <c r="E679" t="s">
        <v>109</v>
      </c>
      <c r="F679" s="8">
        <v>518100</v>
      </c>
      <c r="G679" t="s">
        <v>103</v>
      </c>
    </row>
    <row r="680" spans="1:7" x14ac:dyDescent="0.25">
      <c r="A680" t="s">
        <v>159</v>
      </c>
      <c r="B680" t="s">
        <v>33</v>
      </c>
      <c r="C680" t="s">
        <v>34</v>
      </c>
      <c r="D680" s="7">
        <v>45415</v>
      </c>
      <c r="E680" t="s">
        <v>209</v>
      </c>
      <c r="F680" s="8">
        <v>105238.09</v>
      </c>
      <c r="G680" t="s">
        <v>103</v>
      </c>
    </row>
    <row r="681" spans="1:7" x14ac:dyDescent="0.25">
      <c r="A681" t="s">
        <v>159</v>
      </c>
      <c r="B681" t="s">
        <v>33</v>
      </c>
      <c r="C681" t="s">
        <v>34</v>
      </c>
      <c r="D681" s="7">
        <v>45420</v>
      </c>
      <c r="E681" t="s">
        <v>185</v>
      </c>
      <c r="F681" s="8">
        <v>437809.5</v>
      </c>
      <c r="G681" t="s">
        <v>103</v>
      </c>
    </row>
    <row r="682" spans="1:7" x14ac:dyDescent="0.25">
      <c r="A682" t="s">
        <v>159</v>
      </c>
      <c r="B682" t="s">
        <v>33</v>
      </c>
      <c r="C682" t="s">
        <v>34</v>
      </c>
      <c r="D682" s="7">
        <v>45427</v>
      </c>
      <c r="E682" t="s">
        <v>109</v>
      </c>
      <c r="F682" s="8">
        <v>647145</v>
      </c>
      <c r="G682" t="s">
        <v>103</v>
      </c>
    </row>
    <row r="683" spans="1:7" x14ac:dyDescent="0.25">
      <c r="A683" t="s">
        <v>159</v>
      </c>
      <c r="B683" t="s">
        <v>33</v>
      </c>
      <c r="C683" t="s">
        <v>34</v>
      </c>
      <c r="D683" s="7">
        <v>45435</v>
      </c>
      <c r="E683" t="s">
        <v>184</v>
      </c>
      <c r="F683" s="8">
        <v>444323</v>
      </c>
      <c r="G683" t="s">
        <v>103</v>
      </c>
    </row>
    <row r="684" spans="1:7" x14ac:dyDescent="0.25">
      <c r="A684" t="s">
        <v>159</v>
      </c>
      <c r="B684" t="s">
        <v>38</v>
      </c>
      <c r="C684" t="s">
        <v>39</v>
      </c>
      <c r="D684" s="7">
        <v>45443</v>
      </c>
      <c r="E684" t="s">
        <v>83</v>
      </c>
      <c r="F684" s="8">
        <v>2185719.75</v>
      </c>
      <c r="G684" t="s">
        <v>103</v>
      </c>
    </row>
    <row r="685" spans="1:7" x14ac:dyDescent="0.25">
      <c r="A685" t="s">
        <v>159</v>
      </c>
      <c r="B685" t="s">
        <v>33</v>
      </c>
      <c r="C685" t="s">
        <v>39</v>
      </c>
      <c r="D685" s="7">
        <v>45448</v>
      </c>
      <c r="E685" t="s">
        <v>47</v>
      </c>
      <c r="F685" s="8">
        <v>1309523.8899999999</v>
      </c>
      <c r="G685" t="s">
        <v>103</v>
      </c>
    </row>
    <row r="686" spans="1:7" x14ac:dyDescent="0.25">
      <c r="A686" t="s">
        <v>159</v>
      </c>
      <c r="B686" t="s">
        <v>33</v>
      </c>
      <c r="C686" t="s">
        <v>39</v>
      </c>
      <c r="D686" s="7">
        <v>45448</v>
      </c>
      <c r="E686" t="s">
        <v>83</v>
      </c>
      <c r="F686" s="8">
        <v>1285714.28</v>
      </c>
      <c r="G686" t="s">
        <v>103</v>
      </c>
    </row>
    <row r="687" spans="1:7" x14ac:dyDescent="0.25">
      <c r="A687" t="s">
        <v>159</v>
      </c>
      <c r="B687" t="s">
        <v>33</v>
      </c>
      <c r="C687" t="s">
        <v>39</v>
      </c>
      <c r="D687" s="7">
        <v>45448</v>
      </c>
      <c r="E687" t="s">
        <v>50</v>
      </c>
      <c r="F687" s="8">
        <v>190476.2</v>
      </c>
      <c r="G687" t="s">
        <v>103</v>
      </c>
    </row>
    <row r="688" spans="1:7" x14ac:dyDescent="0.25">
      <c r="A688" t="s">
        <v>159</v>
      </c>
      <c r="B688" t="s">
        <v>33</v>
      </c>
      <c r="C688" t="s">
        <v>39</v>
      </c>
      <c r="D688" s="7">
        <v>45448</v>
      </c>
      <c r="E688" t="s">
        <v>206</v>
      </c>
      <c r="F688" s="8">
        <v>176190.5</v>
      </c>
      <c r="G688" t="s">
        <v>103</v>
      </c>
    </row>
    <row r="689" spans="1:7" x14ac:dyDescent="0.25">
      <c r="A689" t="s">
        <v>159</v>
      </c>
      <c r="B689" t="s">
        <v>33</v>
      </c>
      <c r="C689" t="s">
        <v>34</v>
      </c>
      <c r="D689" s="7">
        <v>45448</v>
      </c>
      <c r="E689" t="s">
        <v>109</v>
      </c>
      <c r="F689" s="8">
        <v>678476.2</v>
      </c>
      <c r="G689" t="s">
        <v>103</v>
      </c>
    </row>
    <row r="690" spans="1:7" x14ac:dyDescent="0.25">
      <c r="A690" t="s">
        <v>159</v>
      </c>
      <c r="B690" t="s">
        <v>38</v>
      </c>
      <c r="C690" t="s">
        <v>39</v>
      </c>
      <c r="D690" s="7">
        <v>45453</v>
      </c>
      <c r="E690" t="s">
        <v>210</v>
      </c>
      <c r="F690" s="8">
        <v>1227619.05</v>
      </c>
      <c r="G690" t="s">
        <v>103</v>
      </c>
    </row>
    <row r="691" spans="1:7" x14ac:dyDescent="0.25">
      <c r="A691" t="s">
        <v>159</v>
      </c>
      <c r="B691" t="s">
        <v>33</v>
      </c>
      <c r="C691" t="s">
        <v>34</v>
      </c>
      <c r="D691" s="7">
        <v>45460</v>
      </c>
      <c r="E691" t="s">
        <v>109</v>
      </c>
      <c r="F691" s="8">
        <v>743601</v>
      </c>
      <c r="G691" t="s">
        <v>103</v>
      </c>
    </row>
    <row r="692" spans="1:7" x14ac:dyDescent="0.25">
      <c r="A692" t="s">
        <v>159</v>
      </c>
      <c r="B692" t="s">
        <v>33</v>
      </c>
      <c r="C692" t="s">
        <v>34</v>
      </c>
      <c r="D692" s="7">
        <v>45467</v>
      </c>
      <c r="E692" t="s">
        <v>109</v>
      </c>
      <c r="F692" s="8">
        <v>652858.4</v>
      </c>
      <c r="G692" t="s">
        <v>103</v>
      </c>
    </row>
    <row r="693" spans="1:7" x14ac:dyDescent="0.25">
      <c r="A693" t="s">
        <v>159</v>
      </c>
      <c r="B693" t="s">
        <v>33</v>
      </c>
      <c r="C693" t="s">
        <v>34</v>
      </c>
      <c r="D693" s="7">
        <v>45474</v>
      </c>
      <c r="E693" t="s">
        <v>191</v>
      </c>
      <c r="F693" s="8">
        <v>672857.5</v>
      </c>
      <c r="G693" t="s">
        <v>103</v>
      </c>
    </row>
    <row r="694" spans="1:7" x14ac:dyDescent="0.25">
      <c r="A694" t="s">
        <v>159</v>
      </c>
      <c r="B694" t="s">
        <v>38</v>
      </c>
      <c r="C694" t="s">
        <v>39</v>
      </c>
      <c r="D694" s="7">
        <v>45477</v>
      </c>
      <c r="E694" t="s">
        <v>211</v>
      </c>
      <c r="F694" s="8">
        <v>4577667.1500000004</v>
      </c>
      <c r="G694" t="s">
        <v>103</v>
      </c>
    </row>
    <row r="695" spans="1:7" x14ac:dyDescent="0.25">
      <c r="A695" t="s">
        <v>159</v>
      </c>
      <c r="B695" t="s">
        <v>33</v>
      </c>
      <c r="C695" t="s">
        <v>34</v>
      </c>
      <c r="D695" s="7">
        <v>45485</v>
      </c>
      <c r="E695" t="s">
        <v>209</v>
      </c>
      <c r="F695" s="8">
        <v>57620</v>
      </c>
      <c r="G695" t="s">
        <v>103</v>
      </c>
    </row>
    <row r="696" spans="1:7" x14ac:dyDescent="0.25">
      <c r="A696" t="s">
        <v>159</v>
      </c>
      <c r="B696" t="s">
        <v>38</v>
      </c>
      <c r="C696" t="s">
        <v>39</v>
      </c>
      <c r="D696" s="7">
        <v>45492</v>
      </c>
      <c r="E696" t="s">
        <v>56</v>
      </c>
      <c r="F696" s="8">
        <v>190476.19</v>
      </c>
      <c r="G696" t="s">
        <v>103</v>
      </c>
    </row>
    <row r="697" spans="1:7" x14ac:dyDescent="0.25">
      <c r="A697" t="s">
        <v>159</v>
      </c>
      <c r="B697" t="s">
        <v>38</v>
      </c>
      <c r="C697" t="s">
        <v>39</v>
      </c>
      <c r="D697" s="7">
        <v>45492</v>
      </c>
      <c r="E697" t="s">
        <v>75</v>
      </c>
      <c r="F697" s="8">
        <v>739624</v>
      </c>
      <c r="G697" t="s">
        <v>103</v>
      </c>
    </row>
    <row r="698" spans="1:7" x14ac:dyDescent="0.25">
      <c r="A698" t="s">
        <v>159</v>
      </c>
      <c r="B698" t="s">
        <v>38</v>
      </c>
      <c r="C698" t="s">
        <v>39</v>
      </c>
      <c r="D698" s="7">
        <v>45497</v>
      </c>
      <c r="E698" t="s">
        <v>47</v>
      </c>
      <c r="F698" s="8">
        <v>529497</v>
      </c>
      <c r="G698" t="s">
        <v>103</v>
      </c>
    </row>
    <row r="699" spans="1:7" x14ac:dyDescent="0.25">
      <c r="A699" t="s">
        <v>159</v>
      </c>
      <c r="B699" t="s">
        <v>38</v>
      </c>
      <c r="C699" t="s">
        <v>39</v>
      </c>
      <c r="D699" s="7">
        <v>45503</v>
      </c>
      <c r="E699" t="s">
        <v>212</v>
      </c>
      <c r="F699" s="8">
        <v>2500000</v>
      </c>
      <c r="G699" t="s">
        <v>103</v>
      </c>
    </row>
    <row r="700" spans="1:7" x14ac:dyDescent="0.25">
      <c r="A700" t="s">
        <v>159</v>
      </c>
      <c r="B700" t="s">
        <v>33</v>
      </c>
      <c r="C700" t="s">
        <v>39</v>
      </c>
      <c r="D700" s="7">
        <v>45518</v>
      </c>
      <c r="E700" t="s">
        <v>124</v>
      </c>
      <c r="F700" s="8">
        <v>2506250</v>
      </c>
      <c r="G700" t="s">
        <v>103</v>
      </c>
    </row>
    <row r="701" spans="1:7" x14ac:dyDescent="0.25">
      <c r="A701" t="s">
        <v>159</v>
      </c>
      <c r="B701" t="s">
        <v>33</v>
      </c>
      <c r="C701" t="s">
        <v>39</v>
      </c>
      <c r="D701" s="7">
        <v>45518</v>
      </c>
      <c r="E701" t="s">
        <v>83</v>
      </c>
      <c r="F701" s="8">
        <v>2393566</v>
      </c>
      <c r="G701" t="s">
        <v>103</v>
      </c>
    </row>
    <row r="702" spans="1:7" x14ac:dyDescent="0.25">
      <c r="A702" t="s">
        <v>159</v>
      </c>
      <c r="B702" t="s">
        <v>33</v>
      </c>
      <c r="C702" t="s">
        <v>39</v>
      </c>
      <c r="D702" s="7">
        <v>45518</v>
      </c>
      <c r="E702" t="s">
        <v>207</v>
      </c>
      <c r="F702" s="8">
        <v>301714</v>
      </c>
      <c r="G702" t="s">
        <v>103</v>
      </c>
    </row>
    <row r="703" spans="1:7" x14ac:dyDescent="0.25">
      <c r="A703" t="s">
        <v>159</v>
      </c>
      <c r="B703" t="s">
        <v>33</v>
      </c>
      <c r="C703" t="s">
        <v>39</v>
      </c>
      <c r="D703" s="7">
        <v>45518</v>
      </c>
      <c r="E703" t="s">
        <v>206</v>
      </c>
      <c r="F703" s="8">
        <v>437580</v>
      </c>
      <c r="G703" t="s">
        <v>103</v>
      </c>
    </row>
    <row r="704" spans="1:7" x14ac:dyDescent="0.25">
      <c r="A704" t="s">
        <v>159</v>
      </c>
      <c r="B704" t="s">
        <v>33</v>
      </c>
      <c r="C704" t="s">
        <v>34</v>
      </c>
      <c r="D704" s="7">
        <v>45527</v>
      </c>
      <c r="E704" t="s">
        <v>191</v>
      </c>
      <c r="F704" s="8">
        <v>789952.5</v>
      </c>
      <c r="G704" t="s">
        <v>103</v>
      </c>
    </row>
    <row r="705" spans="1:7" x14ac:dyDescent="0.25">
      <c r="A705" t="s">
        <v>159</v>
      </c>
      <c r="B705" t="s">
        <v>33</v>
      </c>
      <c r="C705" t="s">
        <v>34</v>
      </c>
      <c r="D705" s="7">
        <v>45535</v>
      </c>
      <c r="E705" t="s">
        <v>213</v>
      </c>
      <c r="F705" s="8">
        <v>342873</v>
      </c>
      <c r="G705" t="s">
        <v>103</v>
      </c>
    </row>
    <row r="706" spans="1:7" x14ac:dyDescent="0.25">
      <c r="A706" t="s">
        <v>159</v>
      </c>
      <c r="B706" t="s">
        <v>33</v>
      </c>
      <c r="C706" t="s">
        <v>34</v>
      </c>
      <c r="D706" s="7">
        <v>45535</v>
      </c>
      <c r="E706" t="s">
        <v>214</v>
      </c>
      <c r="F706" s="8">
        <v>171621</v>
      </c>
      <c r="G706" t="s">
        <v>103</v>
      </c>
    </row>
    <row r="707" spans="1:7" x14ac:dyDescent="0.25">
      <c r="A707" t="s">
        <v>159</v>
      </c>
      <c r="B707" t="s">
        <v>33</v>
      </c>
      <c r="C707" t="s">
        <v>34</v>
      </c>
      <c r="D707" s="7">
        <v>45539</v>
      </c>
      <c r="E707" t="s">
        <v>59</v>
      </c>
      <c r="F707" s="8">
        <v>336000</v>
      </c>
      <c r="G707" t="s">
        <v>103</v>
      </c>
    </row>
    <row r="708" spans="1:7" x14ac:dyDescent="0.25">
      <c r="A708" t="s">
        <v>159</v>
      </c>
      <c r="B708" t="s">
        <v>33</v>
      </c>
      <c r="C708" t="s">
        <v>34</v>
      </c>
      <c r="D708" s="7">
        <v>45540</v>
      </c>
      <c r="E708" t="s">
        <v>108</v>
      </c>
      <c r="F708" s="8">
        <v>886667</v>
      </c>
      <c r="G708" t="s">
        <v>103</v>
      </c>
    </row>
    <row r="709" spans="1:7" x14ac:dyDescent="0.25">
      <c r="A709" t="s">
        <v>159</v>
      </c>
      <c r="B709" t="s">
        <v>33</v>
      </c>
      <c r="C709" t="s">
        <v>34</v>
      </c>
      <c r="D709" s="7">
        <v>45545</v>
      </c>
      <c r="E709" t="s">
        <v>215</v>
      </c>
      <c r="F709" s="8">
        <v>480667.7</v>
      </c>
      <c r="G709" t="s">
        <v>103</v>
      </c>
    </row>
    <row r="710" spans="1:7" x14ac:dyDescent="0.25">
      <c r="A710" t="s">
        <v>159</v>
      </c>
      <c r="B710" t="s">
        <v>33</v>
      </c>
      <c r="C710" t="s">
        <v>39</v>
      </c>
      <c r="D710" s="7">
        <v>45547</v>
      </c>
      <c r="E710" t="s">
        <v>207</v>
      </c>
      <c r="F710" s="8">
        <v>952400</v>
      </c>
      <c r="G710" t="s">
        <v>103</v>
      </c>
    </row>
    <row r="711" spans="1:7" x14ac:dyDescent="0.25">
      <c r="A711" t="s">
        <v>159</v>
      </c>
      <c r="B711" t="s">
        <v>33</v>
      </c>
      <c r="C711" t="s">
        <v>34</v>
      </c>
      <c r="D711" s="7">
        <v>45547</v>
      </c>
      <c r="E711" t="s">
        <v>214</v>
      </c>
      <c r="F711" s="8">
        <v>181905.6</v>
      </c>
      <c r="G711" t="s">
        <v>103</v>
      </c>
    </row>
    <row r="712" spans="1:7" x14ac:dyDescent="0.25">
      <c r="A712" t="s">
        <v>159</v>
      </c>
      <c r="B712" t="s">
        <v>38</v>
      </c>
      <c r="C712" t="s">
        <v>39</v>
      </c>
      <c r="D712" s="7">
        <v>45554</v>
      </c>
      <c r="E712" t="s">
        <v>216</v>
      </c>
      <c r="F712" s="8">
        <v>5041701.28</v>
      </c>
      <c r="G712" t="s">
        <v>103</v>
      </c>
    </row>
    <row r="713" spans="1:7" x14ac:dyDescent="0.25">
      <c r="A713" t="s">
        <v>159</v>
      </c>
      <c r="B713" t="s">
        <v>33</v>
      </c>
      <c r="C713" t="s">
        <v>34</v>
      </c>
      <c r="D713" s="7">
        <v>45555</v>
      </c>
      <c r="E713" t="s">
        <v>191</v>
      </c>
      <c r="F713" s="8">
        <v>790096</v>
      </c>
      <c r="G713" t="s">
        <v>103</v>
      </c>
    </row>
    <row r="714" spans="1:7" x14ac:dyDescent="0.25">
      <c r="A714" t="s">
        <v>159</v>
      </c>
      <c r="B714" t="s">
        <v>33</v>
      </c>
      <c r="C714" t="s">
        <v>34</v>
      </c>
      <c r="D714" s="7">
        <v>45556</v>
      </c>
      <c r="E714" t="s">
        <v>217</v>
      </c>
      <c r="F714" s="8">
        <v>307048.8</v>
      </c>
      <c r="G714" t="s">
        <v>103</v>
      </c>
    </row>
    <row r="715" spans="1:7" x14ac:dyDescent="0.25">
      <c r="A715" t="s">
        <v>159</v>
      </c>
      <c r="B715" t="s">
        <v>38</v>
      </c>
      <c r="C715" t="s">
        <v>34</v>
      </c>
      <c r="D715" s="7">
        <v>45556</v>
      </c>
      <c r="E715" t="s">
        <v>63</v>
      </c>
      <c r="F715" s="8">
        <v>930190.48</v>
      </c>
      <c r="G715" t="s">
        <v>103</v>
      </c>
    </row>
    <row r="716" spans="1:7" x14ac:dyDescent="0.25">
      <c r="A716" t="s">
        <v>159</v>
      </c>
      <c r="B716" t="s">
        <v>33</v>
      </c>
      <c r="C716" t="s">
        <v>34</v>
      </c>
      <c r="D716" s="7">
        <v>45558</v>
      </c>
      <c r="E716" t="s">
        <v>82</v>
      </c>
      <c r="F716" s="8">
        <v>243810</v>
      </c>
      <c r="G716" t="s">
        <v>103</v>
      </c>
    </row>
    <row r="717" spans="1:7" x14ac:dyDescent="0.25">
      <c r="A717" t="s">
        <v>159</v>
      </c>
      <c r="B717" t="s">
        <v>38</v>
      </c>
      <c r="C717" t="s">
        <v>39</v>
      </c>
      <c r="D717" s="7">
        <v>45565</v>
      </c>
      <c r="E717" t="s">
        <v>212</v>
      </c>
      <c r="F717" s="8">
        <v>252141.12</v>
      </c>
      <c r="G717" t="s">
        <v>103</v>
      </c>
    </row>
    <row r="718" spans="1:7" x14ac:dyDescent="0.25">
      <c r="A718" t="s">
        <v>159</v>
      </c>
      <c r="B718" t="s">
        <v>33</v>
      </c>
      <c r="C718" t="s">
        <v>34</v>
      </c>
      <c r="D718" s="7">
        <v>45567</v>
      </c>
      <c r="E718" t="s">
        <v>177</v>
      </c>
      <c r="F718" s="8">
        <v>80000</v>
      </c>
      <c r="G718" t="s">
        <v>103</v>
      </c>
    </row>
    <row r="719" spans="1:7" x14ac:dyDescent="0.25">
      <c r="A719" t="s">
        <v>159</v>
      </c>
      <c r="B719" t="s">
        <v>33</v>
      </c>
      <c r="C719" t="s">
        <v>34</v>
      </c>
      <c r="D719" s="7">
        <v>45572</v>
      </c>
      <c r="E719" t="s">
        <v>200</v>
      </c>
      <c r="F719" s="8">
        <v>267143</v>
      </c>
      <c r="G719" t="s">
        <v>103</v>
      </c>
    </row>
    <row r="720" spans="1:7" x14ac:dyDescent="0.25">
      <c r="A720" t="s">
        <v>159</v>
      </c>
      <c r="B720" t="s">
        <v>33</v>
      </c>
      <c r="C720" t="s">
        <v>34</v>
      </c>
      <c r="D720" s="7">
        <v>45572</v>
      </c>
      <c r="E720" t="s">
        <v>217</v>
      </c>
      <c r="F720" s="8">
        <v>90476.19</v>
      </c>
      <c r="G720" t="s">
        <v>103</v>
      </c>
    </row>
    <row r="721" spans="1:7" x14ac:dyDescent="0.25">
      <c r="A721" t="s">
        <v>159</v>
      </c>
      <c r="B721" t="s">
        <v>33</v>
      </c>
      <c r="C721" t="s">
        <v>39</v>
      </c>
      <c r="D721" s="7">
        <v>45573</v>
      </c>
      <c r="E721" t="s">
        <v>207</v>
      </c>
      <c r="F721" s="8">
        <v>280000</v>
      </c>
      <c r="G721" t="s">
        <v>103</v>
      </c>
    </row>
    <row r="722" spans="1:7" x14ac:dyDescent="0.25">
      <c r="A722" t="s">
        <v>159</v>
      </c>
      <c r="B722" t="s">
        <v>33</v>
      </c>
      <c r="C722" t="s">
        <v>34</v>
      </c>
      <c r="D722" s="7">
        <v>45583</v>
      </c>
      <c r="E722" t="s">
        <v>218</v>
      </c>
      <c r="F722" s="8">
        <v>482857.5</v>
      </c>
      <c r="G722" t="s">
        <v>103</v>
      </c>
    </row>
    <row r="723" spans="1:7" x14ac:dyDescent="0.25">
      <c r="A723" t="s">
        <v>159</v>
      </c>
      <c r="B723" t="s">
        <v>33</v>
      </c>
      <c r="C723" t="s">
        <v>34</v>
      </c>
      <c r="D723" s="7">
        <v>45583</v>
      </c>
      <c r="E723" t="s">
        <v>177</v>
      </c>
      <c r="F723" s="8">
        <v>76190.5</v>
      </c>
      <c r="G723" t="s">
        <v>103</v>
      </c>
    </row>
    <row r="724" spans="1:7" x14ac:dyDescent="0.25">
      <c r="A724" t="s">
        <v>159</v>
      </c>
      <c r="B724" t="s">
        <v>38</v>
      </c>
      <c r="C724" t="s">
        <v>34</v>
      </c>
      <c r="D724" s="7">
        <v>45583</v>
      </c>
      <c r="E724" t="s">
        <v>63</v>
      </c>
      <c r="F724" s="8">
        <v>1137142.8600000001</v>
      </c>
      <c r="G724" t="s">
        <v>103</v>
      </c>
    </row>
    <row r="725" spans="1:7" x14ac:dyDescent="0.25">
      <c r="A725" t="s">
        <v>159</v>
      </c>
      <c r="B725" t="s">
        <v>33</v>
      </c>
      <c r="C725" t="s">
        <v>34</v>
      </c>
      <c r="D725" s="7">
        <v>45584</v>
      </c>
      <c r="E725" t="s">
        <v>37</v>
      </c>
      <c r="F725" s="8">
        <v>2037765</v>
      </c>
      <c r="G725" t="s">
        <v>103</v>
      </c>
    </row>
    <row r="726" spans="1:7" x14ac:dyDescent="0.25">
      <c r="A726" t="s">
        <v>159</v>
      </c>
      <c r="B726" t="s">
        <v>33</v>
      </c>
      <c r="C726" t="s">
        <v>39</v>
      </c>
      <c r="D726" s="7">
        <v>45593</v>
      </c>
      <c r="E726" t="s">
        <v>50</v>
      </c>
      <c r="F726" s="8">
        <v>1383700</v>
      </c>
      <c r="G726" t="s">
        <v>103</v>
      </c>
    </row>
    <row r="727" spans="1:7" x14ac:dyDescent="0.25">
      <c r="A727" t="s">
        <v>159</v>
      </c>
      <c r="B727" t="s">
        <v>33</v>
      </c>
      <c r="C727" t="s">
        <v>39</v>
      </c>
      <c r="D727" s="7">
        <v>45593</v>
      </c>
      <c r="E727" t="s">
        <v>83</v>
      </c>
      <c r="F727" s="8">
        <v>2314680</v>
      </c>
      <c r="G727" t="s">
        <v>103</v>
      </c>
    </row>
    <row r="728" spans="1:7" x14ac:dyDescent="0.25">
      <c r="A728" t="s">
        <v>159</v>
      </c>
      <c r="B728" t="s">
        <v>33</v>
      </c>
      <c r="C728" t="s">
        <v>34</v>
      </c>
      <c r="D728" s="7">
        <v>45593</v>
      </c>
      <c r="E728" t="s">
        <v>191</v>
      </c>
      <c r="F728" s="8">
        <v>938287.8</v>
      </c>
      <c r="G728" t="s">
        <v>103</v>
      </c>
    </row>
    <row r="729" spans="1:7" x14ac:dyDescent="0.25">
      <c r="A729" t="s">
        <v>159</v>
      </c>
      <c r="B729" t="s">
        <v>33</v>
      </c>
      <c r="C729" t="s">
        <v>34</v>
      </c>
      <c r="D729" s="7">
        <v>45593</v>
      </c>
      <c r="E729" t="s">
        <v>206</v>
      </c>
      <c r="F729" s="8">
        <v>699950</v>
      </c>
      <c r="G729" t="s">
        <v>103</v>
      </c>
    </row>
    <row r="730" spans="1:7" x14ac:dyDescent="0.25">
      <c r="A730" t="s">
        <v>159</v>
      </c>
      <c r="B730" t="s">
        <v>33</v>
      </c>
      <c r="C730" t="s">
        <v>34</v>
      </c>
      <c r="D730" s="7">
        <v>45619</v>
      </c>
      <c r="E730" t="s">
        <v>37</v>
      </c>
      <c r="F730" s="8">
        <v>1188576.5</v>
      </c>
      <c r="G730" t="s">
        <v>103</v>
      </c>
    </row>
    <row r="731" spans="1:7" x14ac:dyDescent="0.25">
      <c r="A731" t="s">
        <v>159</v>
      </c>
      <c r="B731" t="s">
        <v>33</v>
      </c>
      <c r="C731" t="s">
        <v>34</v>
      </c>
      <c r="D731" s="7">
        <v>45626</v>
      </c>
      <c r="E731" t="s">
        <v>207</v>
      </c>
      <c r="F731" s="8">
        <v>480000</v>
      </c>
      <c r="G731" t="s">
        <v>103</v>
      </c>
    </row>
    <row r="732" spans="1:7" x14ac:dyDescent="0.25">
      <c r="A732" t="s">
        <v>159</v>
      </c>
      <c r="B732" t="s">
        <v>33</v>
      </c>
      <c r="C732" t="s">
        <v>34</v>
      </c>
      <c r="D732" s="7">
        <v>45629</v>
      </c>
      <c r="E732" t="s">
        <v>191</v>
      </c>
      <c r="F732" s="8">
        <v>446666.7</v>
      </c>
      <c r="G732" t="s">
        <v>103</v>
      </c>
    </row>
    <row r="733" spans="1:7" x14ac:dyDescent="0.25">
      <c r="A733" t="s">
        <v>159</v>
      </c>
      <c r="B733" t="s">
        <v>33</v>
      </c>
      <c r="C733" t="s">
        <v>34</v>
      </c>
      <c r="D733" s="7">
        <v>45630</v>
      </c>
      <c r="E733" t="s">
        <v>209</v>
      </c>
      <c r="F733" s="8">
        <v>63810</v>
      </c>
      <c r="G733" t="s">
        <v>103</v>
      </c>
    </row>
    <row r="734" spans="1:7" x14ac:dyDescent="0.25">
      <c r="A734" t="s">
        <v>159</v>
      </c>
      <c r="B734" t="s">
        <v>33</v>
      </c>
      <c r="C734" t="s">
        <v>39</v>
      </c>
      <c r="D734" s="7">
        <v>45632</v>
      </c>
      <c r="E734" t="s">
        <v>207</v>
      </c>
      <c r="F734" s="8">
        <v>323800</v>
      </c>
      <c r="G734" t="s">
        <v>103</v>
      </c>
    </row>
    <row r="735" spans="1:7" x14ac:dyDescent="0.25">
      <c r="A735" t="s">
        <v>159</v>
      </c>
      <c r="B735" t="s">
        <v>38</v>
      </c>
      <c r="C735" t="s">
        <v>39</v>
      </c>
      <c r="D735" s="7">
        <v>45636</v>
      </c>
      <c r="E735" t="s">
        <v>114</v>
      </c>
      <c r="F735" s="8">
        <v>2380952.39</v>
      </c>
      <c r="G735" t="s">
        <v>103</v>
      </c>
    </row>
    <row r="736" spans="1:7" x14ac:dyDescent="0.25">
      <c r="A736" t="s">
        <v>159</v>
      </c>
      <c r="B736" t="s">
        <v>33</v>
      </c>
      <c r="C736" t="s">
        <v>34</v>
      </c>
      <c r="D736" s="7">
        <v>45650</v>
      </c>
      <c r="E736" t="s">
        <v>191</v>
      </c>
      <c r="F736" s="8">
        <v>580190.48</v>
      </c>
      <c r="G736" t="s">
        <v>103</v>
      </c>
    </row>
    <row r="737" spans="1:7" x14ac:dyDescent="0.25">
      <c r="A737" t="s">
        <v>159</v>
      </c>
      <c r="B737" t="s">
        <v>33</v>
      </c>
      <c r="C737" t="s">
        <v>39</v>
      </c>
      <c r="D737" s="7">
        <v>45657</v>
      </c>
      <c r="E737" t="s">
        <v>207</v>
      </c>
      <c r="F737" s="8">
        <v>453320</v>
      </c>
      <c r="G737" t="s">
        <v>103</v>
      </c>
    </row>
    <row r="738" spans="1:7" x14ac:dyDescent="0.25">
      <c r="A738" t="s">
        <v>159</v>
      </c>
      <c r="B738" t="s">
        <v>33</v>
      </c>
      <c r="C738" t="s">
        <v>34</v>
      </c>
      <c r="D738" s="7">
        <v>45658</v>
      </c>
      <c r="E738" t="s">
        <v>219</v>
      </c>
      <c r="F738" s="8">
        <v>2531151</v>
      </c>
      <c r="G738" t="s">
        <v>103</v>
      </c>
    </row>
    <row r="739" spans="1:7" x14ac:dyDescent="0.25">
      <c r="A739" t="s">
        <v>159</v>
      </c>
      <c r="B739" t="s">
        <v>33</v>
      </c>
      <c r="C739" t="s">
        <v>34</v>
      </c>
      <c r="D739" s="7">
        <v>45660</v>
      </c>
      <c r="E739" t="s">
        <v>220</v>
      </c>
      <c r="F739" s="8">
        <v>71428.5</v>
      </c>
      <c r="G739" t="s">
        <v>103</v>
      </c>
    </row>
    <row r="740" spans="1:7" x14ac:dyDescent="0.25">
      <c r="A740" t="s">
        <v>159</v>
      </c>
      <c r="B740" t="s">
        <v>33</v>
      </c>
      <c r="C740" t="s">
        <v>34</v>
      </c>
      <c r="D740" s="7">
        <v>45665</v>
      </c>
      <c r="E740" t="s">
        <v>221</v>
      </c>
      <c r="F740" s="8">
        <v>221861.9</v>
      </c>
      <c r="G740" t="s">
        <v>103</v>
      </c>
    </row>
    <row r="741" spans="1:7" x14ac:dyDescent="0.25">
      <c r="A741" t="s">
        <v>159</v>
      </c>
      <c r="B741" t="s">
        <v>33</v>
      </c>
      <c r="C741" t="s">
        <v>34</v>
      </c>
      <c r="D741" s="7">
        <v>45666</v>
      </c>
      <c r="E741" t="s">
        <v>179</v>
      </c>
      <c r="F741" s="8">
        <v>1010666.68</v>
      </c>
      <c r="G741" t="s">
        <v>103</v>
      </c>
    </row>
    <row r="742" spans="1:7" x14ac:dyDescent="0.25">
      <c r="A742" t="s">
        <v>159</v>
      </c>
      <c r="B742" t="s">
        <v>38</v>
      </c>
      <c r="C742" t="s">
        <v>39</v>
      </c>
      <c r="D742" s="7">
        <v>45678</v>
      </c>
      <c r="E742" t="s">
        <v>222</v>
      </c>
      <c r="F742" s="8">
        <v>1476190.48</v>
      </c>
      <c r="G742" t="s">
        <v>103</v>
      </c>
    </row>
    <row r="743" spans="1:7" x14ac:dyDescent="0.25">
      <c r="A743" t="s">
        <v>159</v>
      </c>
      <c r="B743" t="s">
        <v>33</v>
      </c>
      <c r="C743" t="s">
        <v>34</v>
      </c>
      <c r="D743" s="7">
        <v>45685</v>
      </c>
      <c r="E743" t="s">
        <v>37</v>
      </c>
      <c r="F743" s="8">
        <v>2038774</v>
      </c>
      <c r="G743" t="s">
        <v>103</v>
      </c>
    </row>
    <row r="744" spans="1:7" x14ac:dyDescent="0.25">
      <c r="A744" t="s">
        <v>159</v>
      </c>
      <c r="B744" t="s">
        <v>38</v>
      </c>
      <c r="C744" t="s">
        <v>39</v>
      </c>
      <c r="D744" s="7">
        <v>45687</v>
      </c>
      <c r="E744" t="s">
        <v>138</v>
      </c>
      <c r="F744" s="8">
        <v>4009613.2</v>
      </c>
      <c r="G744" t="s">
        <v>103</v>
      </c>
    </row>
    <row r="745" spans="1:7" x14ac:dyDescent="0.25">
      <c r="A745" t="s">
        <v>159</v>
      </c>
      <c r="B745" t="s">
        <v>33</v>
      </c>
      <c r="C745" t="s">
        <v>39</v>
      </c>
      <c r="D745" s="7">
        <v>45688</v>
      </c>
      <c r="E745" t="s">
        <v>175</v>
      </c>
      <c r="F745" s="8">
        <v>1190476.2</v>
      </c>
      <c r="G745" t="s">
        <v>103</v>
      </c>
    </row>
    <row r="746" spans="1:7" x14ac:dyDescent="0.25">
      <c r="A746" t="s">
        <v>159</v>
      </c>
      <c r="B746" t="s">
        <v>33</v>
      </c>
      <c r="C746" t="s">
        <v>34</v>
      </c>
      <c r="D746" s="7">
        <v>45688</v>
      </c>
      <c r="E746" t="s">
        <v>82</v>
      </c>
      <c r="F746" s="8">
        <v>194191</v>
      </c>
      <c r="G746" t="s">
        <v>103</v>
      </c>
    </row>
    <row r="747" spans="1:7" x14ac:dyDescent="0.25">
      <c r="A747" t="s">
        <v>159</v>
      </c>
      <c r="B747" t="s">
        <v>33</v>
      </c>
      <c r="C747" t="s">
        <v>34</v>
      </c>
      <c r="D747" s="7">
        <v>45688</v>
      </c>
      <c r="E747" t="s">
        <v>223</v>
      </c>
      <c r="F747" s="8">
        <v>247380</v>
      </c>
      <c r="G747" t="s">
        <v>103</v>
      </c>
    </row>
    <row r="748" spans="1:7" x14ac:dyDescent="0.25">
      <c r="A748" t="s">
        <v>159</v>
      </c>
      <c r="B748" t="s">
        <v>38</v>
      </c>
      <c r="C748" t="s">
        <v>39</v>
      </c>
      <c r="D748" s="7">
        <v>45688</v>
      </c>
      <c r="E748" t="s">
        <v>138</v>
      </c>
      <c r="F748" s="8">
        <v>4109772.1</v>
      </c>
      <c r="G748" t="s">
        <v>103</v>
      </c>
    </row>
    <row r="749" spans="1:7" x14ac:dyDescent="0.25">
      <c r="A749" t="s">
        <v>159</v>
      </c>
      <c r="B749" t="s">
        <v>33</v>
      </c>
      <c r="C749" t="s">
        <v>34</v>
      </c>
      <c r="D749" s="7">
        <v>45695</v>
      </c>
      <c r="E749" t="s">
        <v>191</v>
      </c>
      <c r="F749" s="8">
        <v>372758</v>
      </c>
      <c r="G749" t="s">
        <v>103</v>
      </c>
    </row>
    <row r="750" spans="1:7" x14ac:dyDescent="0.25">
      <c r="A750" t="s">
        <v>159</v>
      </c>
      <c r="B750" t="s">
        <v>38</v>
      </c>
      <c r="C750" t="s">
        <v>39</v>
      </c>
      <c r="D750" s="7">
        <v>45701</v>
      </c>
      <c r="E750" t="s">
        <v>47</v>
      </c>
      <c r="F750" s="8">
        <v>770529</v>
      </c>
      <c r="G750" t="s">
        <v>103</v>
      </c>
    </row>
    <row r="751" spans="1:7" x14ac:dyDescent="0.25">
      <c r="A751" t="s">
        <v>159</v>
      </c>
      <c r="B751" t="s">
        <v>33</v>
      </c>
      <c r="C751" t="s">
        <v>39</v>
      </c>
      <c r="D751" s="7">
        <v>45702</v>
      </c>
      <c r="E751" t="s">
        <v>224</v>
      </c>
      <c r="F751" s="8">
        <v>695238</v>
      </c>
      <c r="G751" t="s">
        <v>103</v>
      </c>
    </row>
    <row r="752" spans="1:7" x14ac:dyDescent="0.25">
      <c r="A752" t="s">
        <v>159</v>
      </c>
      <c r="B752" t="s">
        <v>33</v>
      </c>
      <c r="C752" t="s">
        <v>39</v>
      </c>
      <c r="D752" s="7">
        <v>45705</v>
      </c>
      <c r="E752" t="s">
        <v>75</v>
      </c>
      <c r="F752" s="8">
        <v>688571.43</v>
      </c>
      <c r="G752" t="s">
        <v>103</v>
      </c>
    </row>
    <row r="753" spans="1:7" x14ac:dyDescent="0.25">
      <c r="A753" t="s">
        <v>159</v>
      </c>
      <c r="B753" t="s">
        <v>33</v>
      </c>
      <c r="C753" t="s">
        <v>34</v>
      </c>
      <c r="D753" s="7">
        <v>45706</v>
      </c>
      <c r="E753" t="s">
        <v>221</v>
      </c>
      <c r="F753" s="8">
        <v>285702</v>
      </c>
      <c r="G753" t="s">
        <v>103</v>
      </c>
    </row>
    <row r="754" spans="1:7" x14ac:dyDescent="0.25">
      <c r="A754" t="s">
        <v>159</v>
      </c>
      <c r="B754" t="s">
        <v>33</v>
      </c>
      <c r="C754" t="s">
        <v>34</v>
      </c>
      <c r="D754" s="7">
        <v>45706</v>
      </c>
      <c r="E754" t="s">
        <v>191</v>
      </c>
      <c r="F754" s="8">
        <v>978110</v>
      </c>
      <c r="G754" t="s">
        <v>103</v>
      </c>
    </row>
    <row r="755" spans="1:7" x14ac:dyDescent="0.25">
      <c r="A755" t="s">
        <v>159</v>
      </c>
      <c r="B755" t="s">
        <v>38</v>
      </c>
      <c r="C755" t="s">
        <v>34</v>
      </c>
      <c r="D755" s="7">
        <v>45710</v>
      </c>
      <c r="E755" t="s">
        <v>56</v>
      </c>
      <c r="F755" s="8">
        <v>1317476.19</v>
      </c>
      <c r="G755" t="s">
        <v>103</v>
      </c>
    </row>
    <row r="756" spans="1:7" x14ac:dyDescent="0.25">
      <c r="A756" t="s">
        <v>159</v>
      </c>
      <c r="B756" t="s">
        <v>33</v>
      </c>
      <c r="C756" t="s">
        <v>34</v>
      </c>
      <c r="D756" s="7">
        <v>45711</v>
      </c>
      <c r="E756" t="s">
        <v>82</v>
      </c>
      <c r="F756" s="8">
        <v>200148</v>
      </c>
      <c r="G756" t="s">
        <v>103</v>
      </c>
    </row>
    <row r="757" spans="1:7" x14ac:dyDescent="0.25">
      <c r="A757" t="s">
        <v>159</v>
      </c>
      <c r="B757" t="s">
        <v>33</v>
      </c>
      <c r="C757" t="s">
        <v>34</v>
      </c>
      <c r="D757" s="7">
        <v>45715</v>
      </c>
      <c r="E757" t="s">
        <v>178</v>
      </c>
      <c r="F757" s="8">
        <v>624174.1</v>
      </c>
      <c r="G757" t="s">
        <v>103</v>
      </c>
    </row>
    <row r="758" spans="1:7" x14ac:dyDescent="0.25">
      <c r="A758" t="s">
        <v>159</v>
      </c>
      <c r="B758" t="s">
        <v>33</v>
      </c>
      <c r="C758" t="s">
        <v>34</v>
      </c>
      <c r="D758" s="7">
        <v>45720</v>
      </c>
      <c r="E758" t="s">
        <v>191</v>
      </c>
      <c r="F758" s="8">
        <v>350000</v>
      </c>
      <c r="G758" t="s">
        <v>103</v>
      </c>
    </row>
    <row r="759" spans="1:7" x14ac:dyDescent="0.25">
      <c r="A759" t="s">
        <v>159</v>
      </c>
      <c r="B759" t="s">
        <v>33</v>
      </c>
      <c r="C759" t="s">
        <v>34</v>
      </c>
      <c r="D759" s="7">
        <v>45723</v>
      </c>
      <c r="E759" t="s">
        <v>179</v>
      </c>
      <c r="F759" s="8">
        <v>949860</v>
      </c>
      <c r="G759" t="s">
        <v>103</v>
      </c>
    </row>
    <row r="760" spans="1:7" x14ac:dyDescent="0.25">
      <c r="A760" t="s">
        <v>159</v>
      </c>
      <c r="B760" t="s">
        <v>33</v>
      </c>
      <c r="C760" t="s">
        <v>34</v>
      </c>
      <c r="D760" s="7">
        <v>45728</v>
      </c>
      <c r="E760" t="s">
        <v>178</v>
      </c>
      <c r="F760" s="8">
        <v>799431</v>
      </c>
      <c r="G760" t="s">
        <v>103</v>
      </c>
    </row>
    <row r="761" spans="1:7" x14ac:dyDescent="0.25">
      <c r="A761" t="s">
        <v>159</v>
      </c>
      <c r="B761" t="s">
        <v>38</v>
      </c>
      <c r="C761" t="s">
        <v>34</v>
      </c>
      <c r="D761" s="7">
        <v>45729</v>
      </c>
      <c r="E761" t="s">
        <v>80</v>
      </c>
      <c r="F761" s="8">
        <v>142761.9</v>
      </c>
      <c r="G761" t="s">
        <v>103</v>
      </c>
    </row>
    <row r="762" spans="1:7" x14ac:dyDescent="0.25">
      <c r="A762" t="s">
        <v>159</v>
      </c>
      <c r="B762" t="s">
        <v>33</v>
      </c>
      <c r="C762" t="s">
        <v>34</v>
      </c>
      <c r="D762" s="7">
        <v>45730</v>
      </c>
      <c r="E762" t="s">
        <v>82</v>
      </c>
      <c r="F762" s="8">
        <v>89571.5</v>
      </c>
      <c r="G762" t="s">
        <v>103</v>
      </c>
    </row>
    <row r="763" spans="1:7" x14ac:dyDescent="0.25">
      <c r="A763" t="s">
        <v>159</v>
      </c>
      <c r="B763" t="s">
        <v>38</v>
      </c>
      <c r="C763" t="s">
        <v>39</v>
      </c>
      <c r="D763" s="7">
        <v>45730</v>
      </c>
      <c r="E763" t="s">
        <v>157</v>
      </c>
      <c r="F763" s="8">
        <v>448588.57</v>
      </c>
      <c r="G763" t="s">
        <v>103</v>
      </c>
    </row>
    <row r="764" spans="1:7" x14ac:dyDescent="0.25">
      <c r="A764" t="s">
        <v>159</v>
      </c>
      <c r="B764" t="s">
        <v>38</v>
      </c>
      <c r="C764" t="s">
        <v>39</v>
      </c>
      <c r="D764" s="7">
        <v>45730</v>
      </c>
      <c r="E764" t="s">
        <v>157</v>
      </c>
      <c r="F764" s="8">
        <v>4142857.14</v>
      </c>
      <c r="G764" t="s">
        <v>103</v>
      </c>
    </row>
    <row r="765" spans="1:7" x14ac:dyDescent="0.25">
      <c r="A765" t="s">
        <v>159</v>
      </c>
      <c r="B765" t="s">
        <v>38</v>
      </c>
      <c r="C765" t="s">
        <v>34</v>
      </c>
      <c r="D765" s="7">
        <v>45733</v>
      </c>
      <c r="E765" t="s">
        <v>225</v>
      </c>
      <c r="F765" s="8">
        <v>344060.66</v>
      </c>
      <c r="G765" t="s">
        <v>103</v>
      </c>
    </row>
    <row r="766" spans="1:7" x14ac:dyDescent="0.25">
      <c r="A766" t="s">
        <v>159</v>
      </c>
      <c r="B766" t="s">
        <v>33</v>
      </c>
      <c r="C766" t="s">
        <v>34</v>
      </c>
      <c r="D766" s="7">
        <v>45738</v>
      </c>
      <c r="E766" t="s">
        <v>191</v>
      </c>
      <c r="F766" s="8">
        <v>368985</v>
      </c>
      <c r="G766" t="s">
        <v>103</v>
      </c>
    </row>
    <row r="767" spans="1:7" x14ac:dyDescent="0.25">
      <c r="A767" t="s">
        <v>159</v>
      </c>
      <c r="B767" t="s">
        <v>33</v>
      </c>
      <c r="C767" t="s">
        <v>39</v>
      </c>
      <c r="D767" s="7">
        <v>45741</v>
      </c>
      <c r="E767" t="s">
        <v>226</v>
      </c>
      <c r="F767" s="8">
        <v>2220017</v>
      </c>
      <c r="G767" t="s">
        <v>103</v>
      </c>
    </row>
    <row r="768" spans="1:7" x14ac:dyDescent="0.25">
      <c r="A768" t="s">
        <v>159</v>
      </c>
      <c r="B768" t="s">
        <v>33</v>
      </c>
      <c r="C768" t="s">
        <v>34</v>
      </c>
      <c r="D768" s="7">
        <v>45750</v>
      </c>
      <c r="E768" t="s">
        <v>224</v>
      </c>
      <c r="F768" s="8">
        <v>273619</v>
      </c>
      <c r="G768" t="s">
        <v>135</v>
      </c>
    </row>
    <row r="769" spans="1:7" x14ac:dyDescent="0.25">
      <c r="A769" t="s">
        <v>159</v>
      </c>
      <c r="B769" t="s">
        <v>33</v>
      </c>
      <c r="C769" t="s">
        <v>34</v>
      </c>
      <c r="D769" s="7">
        <v>45752</v>
      </c>
      <c r="E769" t="s">
        <v>227</v>
      </c>
      <c r="F769" s="8">
        <v>330952.38</v>
      </c>
      <c r="G769" t="s">
        <v>135</v>
      </c>
    </row>
    <row r="770" spans="1:7" x14ac:dyDescent="0.25">
      <c r="A770" t="s">
        <v>159</v>
      </c>
      <c r="B770" t="s">
        <v>33</v>
      </c>
      <c r="C770" t="s">
        <v>34</v>
      </c>
      <c r="D770" s="7">
        <v>45752</v>
      </c>
      <c r="E770" t="s">
        <v>199</v>
      </c>
      <c r="F770" s="8">
        <v>105714.3</v>
      </c>
      <c r="G770" t="s">
        <v>135</v>
      </c>
    </row>
    <row r="771" spans="1:7" x14ac:dyDescent="0.25">
      <c r="A771" t="s">
        <v>159</v>
      </c>
      <c r="B771" t="s">
        <v>33</v>
      </c>
      <c r="C771" t="s">
        <v>34</v>
      </c>
      <c r="D771" s="7">
        <v>45754</v>
      </c>
      <c r="E771" t="s">
        <v>215</v>
      </c>
      <c r="F771" s="8">
        <v>352400</v>
      </c>
      <c r="G771" t="s">
        <v>135</v>
      </c>
    </row>
    <row r="772" spans="1:7" x14ac:dyDescent="0.25">
      <c r="A772" t="s">
        <v>159</v>
      </c>
      <c r="B772" t="s">
        <v>33</v>
      </c>
      <c r="C772" t="s">
        <v>34</v>
      </c>
      <c r="D772" s="7">
        <v>45754</v>
      </c>
      <c r="E772" t="s">
        <v>118</v>
      </c>
      <c r="F772" s="8">
        <v>212850</v>
      </c>
      <c r="G772" t="s">
        <v>135</v>
      </c>
    </row>
    <row r="773" spans="1:7" x14ac:dyDescent="0.25">
      <c r="A773" t="s">
        <v>159</v>
      </c>
      <c r="B773" t="s">
        <v>33</v>
      </c>
      <c r="C773" t="s">
        <v>34</v>
      </c>
      <c r="D773" s="7">
        <v>45754</v>
      </c>
      <c r="E773" t="s">
        <v>37</v>
      </c>
      <c r="F773" s="8">
        <v>1679920</v>
      </c>
      <c r="G773" t="s">
        <v>135</v>
      </c>
    </row>
    <row r="774" spans="1:7" x14ac:dyDescent="0.25">
      <c r="A774" t="s">
        <v>159</v>
      </c>
      <c r="B774" t="s">
        <v>33</v>
      </c>
      <c r="C774" t="s">
        <v>34</v>
      </c>
      <c r="D774" s="7">
        <v>45754</v>
      </c>
      <c r="E774" t="s">
        <v>191</v>
      </c>
      <c r="F774" s="8">
        <v>376200</v>
      </c>
      <c r="G774" t="s">
        <v>135</v>
      </c>
    </row>
    <row r="775" spans="1:7" x14ac:dyDescent="0.25">
      <c r="A775" t="s">
        <v>159</v>
      </c>
      <c r="B775" t="s">
        <v>33</v>
      </c>
      <c r="C775" t="s">
        <v>34</v>
      </c>
      <c r="D775" s="7">
        <v>45755</v>
      </c>
      <c r="E775" t="s">
        <v>219</v>
      </c>
      <c r="F775" s="8">
        <v>312885</v>
      </c>
      <c r="G775" t="s">
        <v>135</v>
      </c>
    </row>
    <row r="776" spans="1:7" x14ac:dyDescent="0.25">
      <c r="A776" t="s">
        <v>159</v>
      </c>
      <c r="B776" t="s">
        <v>33</v>
      </c>
      <c r="C776" t="s">
        <v>34</v>
      </c>
      <c r="D776" s="7">
        <v>45756</v>
      </c>
      <c r="E776" t="s">
        <v>228</v>
      </c>
      <c r="F776" s="8">
        <v>141900</v>
      </c>
      <c r="G776" t="s">
        <v>135</v>
      </c>
    </row>
    <row r="777" spans="1:7" x14ac:dyDescent="0.25">
      <c r="A777" t="s">
        <v>159</v>
      </c>
      <c r="B777" t="s">
        <v>33</v>
      </c>
      <c r="C777" t="s">
        <v>34</v>
      </c>
      <c r="D777" s="7">
        <v>45756</v>
      </c>
      <c r="E777" t="s">
        <v>219</v>
      </c>
      <c r="F777" s="8">
        <v>1436180</v>
      </c>
      <c r="G777" t="s">
        <v>135</v>
      </c>
    </row>
    <row r="778" spans="1:7" x14ac:dyDescent="0.25">
      <c r="A778" t="s">
        <v>159</v>
      </c>
      <c r="B778" t="s">
        <v>33</v>
      </c>
      <c r="C778" t="s">
        <v>34</v>
      </c>
      <c r="D778" s="7">
        <v>45757</v>
      </c>
      <c r="E778" t="s">
        <v>123</v>
      </c>
      <c r="F778" s="8">
        <v>382584</v>
      </c>
      <c r="G778" t="s">
        <v>135</v>
      </c>
    </row>
    <row r="779" spans="1:7" x14ac:dyDescent="0.25">
      <c r="A779" t="s">
        <v>159</v>
      </c>
      <c r="B779" t="s">
        <v>33</v>
      </c>
      <c r="C779" t="s">
        <v>34</v>
      </c>
      <c r="D779" s="7">
        <v>45757</v>
      </c>
      <c r="E779" t="s">
        <v>179</v>
      </c>
      <c r="F779" s="8">
        <v>1142661</v>
      </c>
      <c r="G779" t="s">
        <v>135</v>
      </c>
    </row>
    <row r="780" spans="1:7" x14ac:dyDescent="0.25">
      <c r="A780" t="s">
        <v>159</v>
      </c>
      <c r="B780" t="s">
        <v>33</v>
      </c>
      <c r="C780" t="s">
        <v>34</v>
      </c>
      <c r="D780" s="7">
        <v>45758</v>
      </c>
      <c r="E780" t="s">
        <v>215</v>
      </c>
      <c r="F780" s="8">
        <v>279520</v>
      </c>
      <c r="G780" t="s">
        <v>135</v>
      </c>
    </row>
    <row r="781" spans="1:7" x14ac:dyDescent="0.25">
      <c r="A781" t="s">
        <v>159</v>
      </c>
      <c r="B781" t="s">
        <v>38</v>
      </c>
      <c r="C781" t="s">
        <v>39</v>
      </c>
      <c r="D781" s="7">
        <v>45768</v>
      </c>
      <c r="E781" t="s">
        <v>138</v>
      </c>
      <c r="F781" s="8">
        <v>4453000.74</v>
      </c>
      <c r="G781" t="s">
        <v>135</v>
      </c>
    </row>
    <row r="782" spans="1:7" x14ac:dyDescent="0.25">
      <c r="A782" t="s">
        <v>159</v>
      </c>
      <c r="B782" t="s">
        <v>33</v>
      </c>
      <c r="C782" t="s">
        <v>34</v>
      </c>
      <c r="D782" s="7">
        <v>45769</v>
      </c>
      <c r="E782" t="s">
        <v>178</v>
      </c>
      <c r="F782" s="8">
        <v>274857.59999999998</v>
      </c>
      <c r="G782" t="s">
        <v>135</v>
      </c>
    </row>
    <row r="783" spans="1:7" x14ac:dyDescent="0.25">
      <c r="A783" t="s">
        <v>159</v>
      </c>
      <c r="B783" t="s">
        <v>38</v>
      </c>
      <c r="C783" t="s">
        <v>39</v>
      </c>
      <c r="D783" s="7">
        <v>45773</v>
      </c>
      <c r="E783" t="s">
        <v>229</v>
      </c>
      <c r="F783" s="8">
        <v>5030271.1399999997</v>
      </c>
      <c r="G783" t="s">
        <v>135</v>
      </c>
    </row>
    <row r="784" spans="1:7" x14ac:dyDescent="0.25">
      <c r="A784" t="s">
        <v>159</v>
      </c>
      <c r="B784" t="s">
        <v>33</v>
      </c>
      <c r="C784" t="s">
        <v>34</v>
      </c>
      <c r="D784" s="7">
        <v>45784</v>
      </c>
      <c r="E784" t="s">
        <v>37</v>
      </c>
      <c r="F784" s="8">
        <v>1062667</v>
      </c>
      <c r="G784" t="s">
        <v>135</v>
      </c>
    </row>
    <row r="785" spans="1:7" x14ac:dyDescent="0.25">
      <c r="A785" t="s">
        <v>159</v>
      </c>
      <c r="B785" t="s">
        <v>33</v>
      </c>
      <c r="C785" t="s">
        <v>34</v>
      </c>
      <c r="D785" s="7">
        <v>45797</v>
      </c>
      <c r="E785" t="s">
        <v>37</v>
      </c>
      <c r="F785" s="8">
        <v>1190572</v>
      </c>
      <c r="G785" t="s">
        <v>135</v>
      </c>
    </row>
    <row r="786" spans="1:7" x14ac:dyDescent="0.25">
      <c r="A786" t="s">
        <v>159</v>
      </c>
      <c r="B786" t="s">
        <v>38</v>
      </c>
      <c r="C786" t="s">
        <v>39</v>
      </c>
      <c r="D786" s="7">
        <v>45808</v>
      </c>
      <c r="E786" t="s">
        <v>226</v>
      </c>
      <c r="F786" s="8">
        <v>2476190.48</v>
      </c>
      <c r="G786" t="s">
        <v>135</v>
      </c>
    </row>
    <row r="787" spans="1:7" x14ac:dyDescent="0.25">
      <c r="A787" t="s">
        <v>159</v>
      </c>
      <c r="B787" t="s">
        <v>33</v>
      </c>
      <c r="C787" t="s">
        <v>34</v>
      </c>
      <c r="D787" s="7">
        <v>45810</v>
      </c>
      <c r="E787" t="s">
        <v>191</v>
      </c>
      <c r="F787" s="8">
        <v>396047.62</v>
      </c>
      <c r="G787" t="s">
        <v>135</v>
      </c>
    </row>
    <row r="788" spans="1:7" x14ac:dyDescent="0.25">
      <c r="A788" t="s">
        <v>159</v>
      </c>
      <c r="B788" t="s">
        <v>33</v>
      </c>
      <c r="C788" t="s">
        <v>34</v>
      </c>
      <c r="D788" s="7">
        <v>45817</v>
      </c>
      <c r="E788" t="s">
        <v>179</v>
      </c>
      <c r="F788" s="8">
        <v>958715.7</v>
      </c>
      <c r="G788" t="s">
        <v>135</v>
      </c>
    </row>
    <row r="789" spans="1:7" x14ac:dyDescent="0.25">
      <c r="A789" t="s">
        <v>159</v>
      </c>
      <c r="B789" t="s">
        <v>33</v>
      </c>
      <c r="C789" t="s">
        <v>34</v>
      </c>
      <c r="D789" s="7">
        <v>45822</v>
      </c>
      <c r="E789" t="s">
        <v>230</v>
      </c>
      <c r="F789" s="8">
        <v>224575</v>
      </c>
      <c r="G789" t="s">
        <v>135</v>
      </c>
    </row>
    <row r="790" spans="1:7" x14ac:dyDescent="0.25">
      <c r="A790" t="s">
        <v>159</v>
      </c>
      <c r="B790" t="s">
        <v>33</v>
      </c>
      <c r="C790" t="s">
        <v>34</v>
      </c>
      <c r="D790" s="7">
        <v>45829</v>
      </c>
      <c r="E790" t="s">
        <v>191</v>
      </c>
      <c r="F790" s="8">
        <v>539238</v>
      </c>
      <c r="G790" t="s">
        <v>135</v>
      </c>
    </row>
    <row r="791" spans="1:7" x14ac:dyDescent="0.25">
      <c r="A791" t="s">
        <v>159</v>
      </c>
      <c r="B791" t="s">
        <v>38</v>
      </c>
      <c r="C791" t="s">
        <v>39</v>
      </c>
      <c r="D791" s="7">
        <v>45835</v>
      </c>
      <c r="E791" t="s">
        <v>104</v>
      </c>
      <c r="F791" s="8">
        <v>3421037.75</v>
      </c>
      <c r="G791" t="s">
        <v>135</v>
      </c>
    </row>
    <row r="792" spans="1:7" x14ac:dyDescent="0.25">
      <c r="A792" t="s">
        <v>159</v>
      </c>
      <c r="B792" t="s">
        <v>33</v>
      </c>
      <c r="C792" t="s">
        <v>34</v>
      </c>
      <c r="D792" s="7">
        <v>45840</v>
      </c>
      <c r="E792" t="s">
        <v>178</v>
      </c>
      <c r="F792" s="8">
        <v>636666</v>
      </c>
      <c r="G792" t="s">
        <v>135</v>
      </c>
    </row>
    <row r="793" spans="1:7" x14ac:dyDescent="0.25">
      <c r="A793" t="s">
        <v>159</v>
      </c>
      <c r="B793" t="s">
        <v>33</v>
      </c>
      <c r="C793" t="s">
        <v>34</v>
      </c>
      <c r="D793" s="7">
        <v>45841</v>
      </c>
      <c r="E793" t="s">
        <v>179</v>
      </c>
      <c r="F793" s="8">
        <v>1264857.6000000001</v>
      </c>
      <c r="G793" t="s">
        <v>135</v>
      </c>
    </row>
    <row r="794" spans="1:7" x14ac:dyDescent="0.25">
      <c r="A794" t="s">
        <v>159</v>
      </c>
      <c r="B794" t="s">
        <v>33</v>
      </c>
      <c r="C794" t="s">
        <v>34</v>
      </c>
      <c r="D794" s="7">
        <v>45846</v>
      </c>
      <c r="E794" t="s">
        <v>37</v>
      </c>
      <c r="F794" s="8">
        <v>1240150</v>
      </c>
      <c r="G794" t="s">
        <v>135</v>
      </c>
    </row>
    <row r="795" spans="1:7" x14ac:dyDescent="0.25">
      <c r="A795" t="s">
        <v>159</v>
      </c>
      <c r="B795" t="s">
        <v>38</v>
      </c>
      <c r="C795" t="s">
        <v>39</v>
      </c>
      <c r="D795" s="7">
        <v>45850</v>
      </c>
      <c r="E795" t="s">
        <v>84</v>
      </c>
      <c r="F795" s="8">
        <v>952380.3</v>
      </c>
      <c r="G795" t="s">
        <v>135</v>
      </c>
    </row>
    <row r="796" spans="1:7" x14ac:dyDescent="0.25">
      <c r="A796" t="s">
        <v>159</v>
      </c>
      <c r="B796" t="s">
        <v>33</v>
      </c>
      <c r="C796" t="s">
        <v>34</v>
      </c>
      <c r="D796" s="7">
        <v>45853</v>
      </c>
      <c r="E796" t="s">
        <v>191</v>
      </c>
      <c r="F796" s="8">
        <v>458092</v>
      </c>
      <c r="G796" t="s">
        <v>135</v>
      </c>
    </row>
    <row r="797" spans="1:7" x14ac:dyDescent="0.25">
      <c r="A797" t="s">
        <v>159</v>
      </c>
      <c r="B797" t="s">
        <v>38</v>
      </c>
      <c r="C797" t="s">
        <v>39</v>
      </c>
      <c r="D797" s="7">
        <v>45855</v>
      </c>
      <c r="E797" t="s">
        <v>183</v>
      </c>
      <c r="F797" s="8">
        <v>1121428.58</v>
      </c>
      <c r="G797" t="s">
        <v>135</v>
      </c>
    </row>
    <row r="798" spans="1:7" x14ac:dyDescent="0.25">
      <c r="A798" t="s">
        <v>159</v>
      </c>
      <c r="B798" t="s">
        <v>33</v>
      </c>
      <c r="C798" t="s">
        <v>39</v>
      </c>
      <c r="D798" s="7">
        <v>45867</v>
      </c>
      <c r="E798" t="s">
        <v>225</v>
      </c>
      <c r="F798" s="8">
        <v>1668600</v>
      </c>
      <c r="G798" t="s">
        <v>135</v>
      </c>
    </row>
    <row r="799" spans="1:7" x14ac:dyDescent="0.25">
      <c r="A799" t="s">
        <v>159</v>
      </c>
      <c r="B799" t="s">
        <v>33</v>
      </c>
      <c r="C799" t="s">
        <v>34</v>
      </c>
      <c r="D799" s="7">
        <v>45868</v>
      </c>
      <c r="E799" t="s">
        <v>178</v>
      </c>
      <c r="F799" s="8">
        <v>660015</v>
      </c>
      <c r="G799" t="s">
        <v>135</v>
      </c>
    </row>
    <row r="800" spans="1:7" x14ac:dyDescent="0.25">
      <c r="A800" t="s">
        <v>159</v>
      </c>
      <c r="B800" t="s">
        <v>38</v>
      </c>
      <c r="C800" t="s">
        <v>39</v>
      </c>
      <c r="D800" s="7">
        <v>45876</v>
      </c>
      <c r="E800" t="s">
        <v>183</v>
      </c>
      <c r="F800" s="8">
        <v>761904.76</v>
      </c>
      <c r="G800" t="s">
        <v>135</v>
      </c>
    </row>
    <row r="801" spans="1:7" x14ac:dyDescent="0.25">
      <c r="A801" t="s">
        <v>159</v>
      </c>
      <c r="B801" t="s">
        <v>33</v>
      </c>
      <c r="C801" t="s">
        <v>34</v>
      </c>
      <c r="D801" s="7">
        <v>45878</v>
      </c>
      <c r="E801" t="s">
        <v>191</v>
      </c>
      <c r="F801" s="8">
        <v>598095.24</v>
      </c>
      <c r="G801" t="s">
        <v>135</v>
      </c>
    </row>
    <row r="802" spans="1:7" x14ac:dyDescent="0.25">
      <c r="A802" t="s">
        <v>159</v>
      </c>
      <c r="B802" t="s">
        <v>33</v>
      </c>
      <c r="C802" t="s">
        <v>34</v>
      </c>
      <c r="D802" s="7">
        <v>45888</v>
      </c>
      <c r="E802" t="s">
        <v>37</v>
      </c>
      <c r="F802" s="8">
        <v>2197719</v>
      </c>
      <c r="G802" t="s">
        <v>135</v>
      </c>
    </row>
    <row r="803" spans="1:7" x14ac:dyDescent="0.25">
      <c r="A803" t="s">
        <v>159</v>
      </c>
      <c r="B803" t="s">
        <v>33</v>
      </c>
      <c r="C803" t="s">
        <v>34</v>
      </c>
      <c r="D803" s="7">
        <v>45892</v>
      </c>
      <c r="E803" t="s">
        <v>231</v>
      </c>
      <c r="F803" s="8">
        <v>313143.2</v>
      </c>
      <c r="G803" t="s">
        <v>135</v>
      </c>
    </row>
    <row r="804" spans="1:7" x14ac:dyDescent="0.25">
      <c r="A804" t="s">
        <v>159</v>
      </c>
      <c r="B804" t="s">
        <v>33</v>
      </c>
      <c r="C804" t="s">
        <v>34</v>
      </c>
      <c r="D804" s="7">
        <v>45896</v>
      </c>
      <c r="E804" t="s">
        <v>178</v>
      </c>
      <c r="F804" s="8">
        <v>1416333.3</v>
      </c>
      <c r="G804" t="s">
        <v>135</v>
      </c>
    </row>
    <row r="805" spans="1:7" x14ac:dyDescent="0.25">
      <c r="A805" t="s">
        <v>159</v>
      </c>
      <c r="B805" t="s">
        <v>33</v>
      </c>
      <c r="C805" t="s">
        <v>34</v>
      </c>
      <c r="D805" s="7">
        <v>45898</v>
      </c>
      <c r="E805" t="s">
        <v>191</v>
      </c>
      <c r="F805" s="8">
        <v>890952.38</v>
      </c>
      <c r="G805" t="s">
        <v>135</v>
      </c>
    </row>
    <row r="806" spans="1:7" x14ac:dyDescent="0.25">
      <c r="A806" t="s">
        <v>159</v>
      </c>
      <c r="B806" t="s">
        <v>33</v>
      </c>
      <c r="C806" t="s">
        <v>34</v>
      </c>
      <c r="D806" s="7">
        <v>45901</v>
      </c>
      <c r="E806" t="s">
        <v>199</v>
      </c>
      <c r="F806" s="8">
        <v>285095.23</v>
      </c>
      <c r="G806" t="s">
        <v>135</v>
      </c>
    </row>
    <row r="807" spans="1:7" x14ac:dyDescent="0.25">
      <c r="A807" t="s">
        <v>159</v>
      </c>
      <c r="B807" t="s">
        <v>33</v>
      </c>
      <c r="C807" t="s">
        <v>34</v>
      </c>
      <c r="D807" s="7">
        <v>45901</v>
      </c>
      <c r="E807" t="s">
        <v>149</v>
      </c>
      <c r="F807" s="8">
        <v>185714.3</v>
      </c>
      <c r="G807" t="s">
        <v>135</v>
      </c>
    </row>
    <row r="808" spans="1:7" x14ac:dyDescent="0.25">
      <c r="A808" t="s">
        <v>159</v>
      </c>
      <c r="B808" t="s">
        <v>33</v>
      </c>
      <c r="C808" t="s">
        <v>34</v>
      </c>
      <c r="D808" s="7">
        <v>45904</v>
      </c>
      <c r="E808" t="s">
        <v>199</v>
      </c>
      <c r="F808" s="8">
        <v>337714.28</v>
      </c>
      <c r="G808" t="s">
        <v>135</v>
      </c>
    </row>
    <row r="809" spans="1:7" x14ac:dyDescent="0.25">
      <c r="A809" t="s">
        <v>159</v>
      </c>
      <c r="B809" t="s">
        <v>38</v>
      </c>
      <c r="C809" t="s">
        <v>39</v>
      </c>
      <c r="D809" s="7">
        <v>45904</v>
      </c>
      <c r="E809" t="s">
        <v>226</v>
      </c>
      <c r="F809" s="8">
        <v>952380.96</v>
      </c>
      <c r="G809" t="s">
        <v>135</v>
      </c>
    </row>
    <row r="810" spans="1:7" x14ac:dyDescent="0.25">
      <c r="A810" t="s">
        <v>159</v>
      </c>
      <c r="B810" t="s">
        <v>33</v>
      </c>
      <c r="C810" t="s">
        <v>34</v>
      </c>
      <c r="D810" s="7">
        <v>45909</v>
      </c>
      <c r="E810" t="s">
        <v>232</v>
      </c>
      <c r="F810" s="8">
        <v>428400</v>
      </c>
      <c r="G810" t="s">
        <v>135</v>
      </c>
    </row>
    <row r="811" spans="1:7" x14ac:dyDescent="0.25">
      <c r="A811" t="s">
        <v>159</v>
      </c>
      <c r="B811" t="s">
        <v>33</v>
      </c>
      <c r="C811" t="s">
        <v>34</v>
      </c>
      <c r="D811" s="7">
        <v>45910</v>
      </c>
      <c r="E811" t="s">
        <v>149</v>
      </c>
      <c r="F811" s="8">
        <v>373809.52</v>
      </c>
      <c r="G811" t="s">
        <v>135</v>
      </c>
    </row>
    <row r="812" spans="1:7" x14ac:dyDescent="0.25">
      <c r="A812" t="s">
        <v>159</v>
      </c>
      <c r="B812" t="s">
        <v>33</v>
      </c>
      <c r="C812" t="s">
        <v>34</v>
      </c>
      <c r="D812" s="7">
        <v>45912</v>
      </c>
      <c r="E812" t="s">
        <v>233</v>
      </c>
      <c r="F812" s="8">
        <v>905714.5</v>
      </c>
      <c r="G812" t="s">
        <v>135</v>
      </c>
    </row>
    <row r="813" spans="1:7" x14ac:dyDescent="0.25">
      <c r="A813" t="s">
        <v>159</v>
      </c>
      <c r="B813" t="s">
        <v>33</v>
      </c>
      <c r="C813" t="s">
        <v>34</v>
      </c>
      <c r="D813" s="7">
        <v>45915</v>
      </c>
      <c r="E813" t="s">
        <v>231</v>
      </c>
      <c r="F813" s="8">
        <v>386380.95</v>
      </c>
      <c r="G813" t="s">
        <v>135</v>
      </c>
    </row>
    <row r="814" spans="1:7" x14ac:dyDescent="0.25">
      <c r="A814" t="s">
        <v>159</v>
      </c>
      <c r="B814" t="s">
        <v>33</v>
      </c>
      <c r="C814" t="s">
        <v>34</v>
      </c>
      <c r="D814" s="7">
        <v>45916</v>
      </c>
      <c r="E814" t="s">
        <v>149</v>
      </c>
      <c r="F814" s="8">
        <v>680334</v>
      </c>
      <c r="G814" t="s">
        <v>135</v>
      </c>
    </row>
    <row r="815" spans="1:7" x14ac:dyDescent="0.25">
      <c r="A815" t="s">
        <v>159</v>
      </c>
      <c r="B815" t="s">
        <v>38</v>
      </c>
      <c r="C815" t="s">
        <v>39</v>
      </c>
      <c r="D815" s="7">
        <v>45918</v>
      </c>
      <c r="E815" t="s">
        <v>234</v>
      </c>
      <c r="F815" s="8">
        <v>428095.24</v>
      </c>
      <c r="G815" t="s">
        <v>135</v>
      </c>
    </row>
    <row r="816" spans="1:7" x14ac:dyDescent="0.25">
      <c r="A816" t="s">
        <v>159</v>
      </c>
      <c r="B816" t="s">
        <v>33</v>
      </c>
      <c r="C816" t="s">
        <v>34</v>
      </c>
      <c r="D816" s="7">
        <v>45922</v>
      </c>
      <c r="E816" t="s">
        <v>221</v>
      </c>
      <c r="F816" s="8">
        <v>62495</v>
      </c>
      <c r="G816" t="s">
        <v>135</v>
      </c>
    </row>
    <row r="817" spans="1:7" x14ac:dyDescent="0.25">
      <c r="A817" t="s">
        <v>159</v>
      </c>
      <c r="B817" t="s">
        <v>33</v>
      </c>
      <c r="C817" t="s">
        <v>34</v>
      </c>
      <c r="D817" s="7">
        <v>45922</v>
      </c>
      <c r="E817" t="s">
        <v>149</v>
      </c>
      <c r="F817" s="8">
        <v>557142.85</v>
      </c>
      <c r="G817" t="s">
        <v>135</v>
      </c>
    </row>
    <row r="818" spans="1:7" x14ac:dyDescent="0.25">
      <c r="A818" t="s">
        <v>159</v>
      </c>
      <c r="B818" t="s">
        <v>33</v>
      </c>
      <c r="C818" t="s">
        <v>34</v>
      </c>
      <c r="D818" s="7">
        <v>45922</v>
      </c>
      <c r="E818" t="s">
        <v>191</v>
      </c>
      <c r="F818" s="8">
        <v>819523.8</v>
      </c>
      <c r="G818" t="s">
        <v>135</v>
      </c>
    </row>
    <row r="819" spans="1:7" x14ac:dyDescent="0.25">
      <c r="A819" t="s">
        <v>159</v>
      </c>
      <c r="B819" t="s">
        <v>33</v>
      </c>
      <c r="C819" t="s">
        <v>34</v>
      </c>
      <c r="D819" s="7">
        <v>45924</v>
      </c>
      <c r="E819" t="s">
        <v>123</v>
      </c>
      <c r="F819" s="8">
        <v>711667</v>
      </c>
      <c r="G819" t="s">
        <v>135</v>
      </c>
    </row>
    <row r="820" spans="1:7" x14ac:dyDescent="0.25">
      <c r="A820" t="s">
        <v>159</v>
      </c>
      <c r="B820" t="s">
        <v>38</v>
      </c>
      <c r="C820" t="s">
        <v>39</v>
      </c>
      <c r="D820" s="7">
        <v>45925</v>
      </c>
      <c r="E820" t="s">
        <v>114</v>
      </c>
      <c r="F820" s="8">
        <v>3606283.44</v>
      </c>
      <c r="G820" t="s">
        <v>135</v>
      </c>
    </row>
    <row r="821" spans="1:7" x14ac:dyDescent="0.25">
      <c r="A821" t="s">
        <v>159</v>
      </c>
      <c r="B821" t="s">
        <v>38</v>
      </c>
      <c r="C821" t="s">
        <v>39</v>
      </c>
      <c r="D821" s="7">
        <v>45925</v>
      </c>
      <c r="E821" t="s">
        <v>114</v>
      </c>
      <c r="F821" s="8">
        <v>215001</v>
      </c>
      <c r="G821" t="s">
        <v>135</v>
      </c>
    </row>
    <row r="822" spans="1:7" x14ac:dyDescent="0.25">
      <c r="A822" t="s">
        <v>159</v>
      </c>
      <c r="B822" t="s">
        <v>33</v>
      </c>
      <c r="C822" t="s">
        <v>34</v>
      </c>
      <c r="D822" s="7">
        <v>45927</v>
      </c>
      <c r="E822" t="s">
        <v>149</v>
      </c>
      <c r="F822" s="8">
        <v>578571.43000000005</v>
      </c>
      <c r="G822" t="s">
        <v>135</v>
      </c>
    </row>
    <row r="823" spans="1:7" x14ac:dyDescent="0.25">
      <c r="A823" t="s">
        <v>159</v>
      </c>
      <c r="B823" t="s">
        <v>33</v>
      </c>
      <c r="C823" t="s">
        <v>34</v>
      </c>
      <c r="D823" s="7">
        <v>45939</v>
      </c>
      <c r="E823" t="s">
        <v>149</v>
      </c>
      <c r="F823" s="8">
        <v>465714.28</v>
      </c>
      <c r="G823" t="s">
        <v>135</v>
      </c>
    </row>
    <row r="824" spans="1:7" x14ac:dyDescent="0.25">
      <c r="A824" t="s">
        <v>159</v>
      </c>
      <c r="B824" t="s">
        <v>33</v>
      </c>
      <c r="C824" t="s">
        <v>34</v>
      </c>
      <c r="D824" s="7">
        <v>45944</v>
      </c>
      <c r="E824" t="s">
        <v>191</v>
      </c>
      <c r="F824" s="8">
        <v>902761.9</v>
      </c>
      <c r="G824" t="s">
        <v>135</v>
      </c>
    </row>
    <row r="825" spans="1:7" x14ac:dyDescent="0.25">
      <c r="A825" t="s">
        <v>159</v>
      </c>
      <c r="B825" t="s">
        <v>38</v>
      </c>
      <c r="C825" t="s">
        <v>39</v>
      </c>
      <c r="D825" s="7">
        <v>45947</v>
      </c>
      <c r="E825" t="s">
        <v>235</v>
      </c>
      <c r="F825" s="8">
        <v>950107.41</v>
      </c>
      <c r="G825" t="s">
        <v>135</v>
      </c>
    </row>
    <row r="826" spans="1:7" x14ac:dyDescent="0.25">
      <c r="A826" t="s">
        <v>159</v>
      </c>
      <c r="B826" t="s">
        <v>33</v>
      </c>
      <c r="C826" t="s">
        <v>34</v>
      </c>
      <c r="D826" s="7">
        <v>45948</v>
      </c>
      <c r="E826" t="s">
        <v>37</v>
      </c>
      <c r="F826" s="8">
        <v>1047450</v>
      </c>
      <c r="G826" t="s">
        <v>135</v>
      </c>
    </row>
    <row r="827" spans="1:7" x14ac:dyDescent="0.25">
      <c r="A827" t="s">
        <v>159</v>
      </c>
      <c r="B827" t="s">
        <v>33</v>
      </c>
      <c r="C827" t="s">
        <v>34</v>
      </c>
      <c r="D827" s="7">
        <v>45961</v>
      </c>
      <c r="E827" t="s">
        <v>231</v>
      </c>
      <c r="F827" s="8">
        <v>352381</v>
      </c>
      <c r="G827" t="s">
        <v>135</v>
      </c>
    </row>
    <row r="828" spans="1:7" x14ac:dyDescent="0.25">
      <c r="A828" t="s">
        <v>159</v>
      </c>
      <c r="B828" t="s">
        <v>33</v>
      </c>
      <c r="C828" t="s">
        <v>34</v>
      </c>
      <c r="D828" s="7">
        <v>45968</v>
      </c>
      <c r="E828" t="s">
        <v>123</v>
      </c>
      <c r="F828" s="8">
        <v>455609</v>
      </c>
      <c r="G828" t="s">
        <v>135</v>
      </c>
    </row>
    <row r="829" spans="1:7" x14ac:dyDescent="0.25">
      <c r="A829" t="s">
        <v>159</v>
      </c>
      <c r="B829" t="s">
        <v>33</v>
      </c>
      <c r="C829" t="s">
        <v>34</v>
      </c>
      <c r="D829" s="7">
        <v>45969</v>
      </c>
      <c r="E829" t="s">
        <v>37</v>
      </c>
      <c r="F829" s="8">
        <v>1092996</v>
      </c>
      <c r="G829" t="s">
        <v>135</v>
      </c>
    </row>
    <row r="830" spans="1:7" x14ac:dyDescent="0.25">
      <c r="A830" t="s">
        <v>159</v>
      </c>
      <c r="B830" t="s">
        <v>33</v>
      </c>
      <c r="C830" t="s">
        <v>34</v>
      </c>
      <c r="D830" s="7">
        <v>45973</v>
      </c>
      <c r="E830" t="s">
        <v>149</v>
      </c>
      <c r="F830" s="8">
        <v>271670</v>
      </c>
      <c r="G830" t="s">
        <v>135</v>
      </c>
    </row>
    <row r="831" spans="1:7" x14ac:dyDescent="0.25">
      <c r="A831" t="s">
        <v>159</v>
      </c>
      <c r="B831" t="s">
        <v>33</v>
      </c>
      <c r="C831" t="s">
        <v>34</v>
      </c>
      <c r="D831" s="7">
        <v>45981</v>
      </c>
      <c r="E831" t="s">
        <v>236</v>
      </c>
      <c r="F831" s="8">
        <v>198095.24</v>
      </c>
      <c r="G831" t="s">
        <v>135</v>
      </c>
    </row>
    <row r="832" spans="1:7" x14ac:dyDescent="0.25">
      <c r="A832" t="s">
        <v>159</v>
      </c>
      <c r="B832" t="s">
        <v>33</v>
      </c>
      <c r="C832" t="s">
        <v>34</v>
      </c>
      <c r="D832" s="7">
        <v>45982</v>
      </c>
      <c r="E832" t="s">
        <v>191</v>
      </c>
      <c r="F832" s="8">
        <v>283809.52</v>
      </c>
      <c r="G832" t="s">
        <v>135</v>
      </c>
    </row>
    <row r="833" spans="1:7" x14ac:dyDescent="0.25">
      <c r="A833" t="s">
        <v>159</v>
      </c>
      <c r="B833" t="s">
        <v>33</v>
      </c>
      <c r="C833" t="s">
        <v>34</v>
      </c>
      <c r="D833" s="7">
        <v>45985</v>
      </c>
      <c r="E833" t="s">
        <v>208</v>
      </c>
      <c r="F833" s="8">
        <v>233143</v>
      </c>
      <c r="G833" t="s">
        <v>135</v>
      </c>
    </row>
    <row r="834" spans="1:7" x14ac:dyDescent="0.25">
      <c r="A834" t="s">
        <v>159</v>
      </c>
      <c r="B834" t="s">
        <v>38</v>
      </c>
      <c r="C834" t="s">
        <v>39</v>
      </c>
      <c r="D834" s="7">
        <v>45987</v>
      </c>
      <c r="E834" t="s">
        <v>219</v>
      </c>
      <c r="F834" s="8">
        <v>2223809.52</v>
      </c>
      <c r="G834" t="s">
        <v>135</v>
      </c>
    </row>
    <row r="835" spans="1:7" x14ac:dyDescent="0.25">
      <c r="A835" t="s">
        <v>159</v>
      </c>
      <c r="B835" t="s">
        <v>33</v>
      </c>
      <c r="C835" t="s">
        <v>34</v>
      </c>
      <c r="D835" s="7">
        <v>45988</v>
      </c>
      <c r="E835" t="s">
        <v>123</v>
      </c>
      <c r="F835" s="8">
        <v>354750</v>
      </c>
      <c r="G835" t="s">
        <v>135</v>
      </c>
    </row>
    <row r="836" spans="1:7" x14ac:dyDescent="0.25">
      <c r="A836" t="s">
        <v>159</v>
      </c>
      <c r="B836" t="s">
        <v>33</v>
      </c>
      <c r="C836" t="s">
        <v>34</v>
      </c>
      <c r="D836" s="7">
        <v>45989</v>
      </c>
      <c r="E836" t="s">
        <v>236</v>
      </c>
      <c r="F836" s="8">
        <v>397140</v>
      </c>
      <c r="G836" t="s">
        <v>135</v>
      </c>
    </row>
    <row r="837" spans="1:7" x14ac:dyDescent="0.25">
      <c r="A837" t="s">
        <v>159</v>
      </c>
      <c r="B837" t="s">
        <v>33</v>
      </c>
      <c r="C837" t="s">
        <v>34</v>
      </c>
      <c r="D837" s="7">
        <v>45996</v>
      </c>
      <c r="E837" t="s">
        <v>37</v>
      </c>
      <c r="F837" s="8">
        <v>1014190.48</v>
      </c>
      <c r="G837" t="s">
        <v>135</v>
      </c>
    </row>
    <row r="838" spans="1:7" x14ac:dyDescent="0.25">
      <c r="A838" t="s">
        <v>159</v>
      </c>
      <c r="B838" t="s">
        <v>33</v>
      </c>
      <c r="C838" t="s">
        <v>34</v>
      </c>
      <c r="D838" s="7">
        <v>46002</v>
      </c>
      <c r="E838" t="s">
        <v>108</v>
      </c>
      <c r="F838" s="8">
        <v>589200</v>
      </c>
      <c r="G838" t="s">
        <v>135</v>
      </c>
    </row>
    <row r="839" spans="1:7" x14ac:dyDescent="0.25">
      <c r="A839" t="s">
        <v>159</v>
      </c>
      <c r="B839" t="s">
        <v>33</v>
      </c>
      <c r="C839" t="s">
        <v>34</v>
      </c>
      <c r="D839" s="7">
        <v>46009</v>
      </c>
      <c r="E839" t="s">
        <v>191</v>
      </c>
      <c r="F839" s="8">
        <v>548796</v>
      </c>
      <c r="G839" t="s">
        <v>135</v>
      </c>
    </row>
    <row r="840" spans="1:7" x14ac:dyDescent="0.25">
      <c r="A840" t="s">
        <v>159</v>
      </c>
      <c r="B840" t="s">
        <v>33</v>
      </c>
      <c r="C840" t="s">
        <v>34</v>
      </c>
      <c r="D840" s="7">
        <v>46009</v>
      </c>
      <c r="E840" t="s">
        <v>208</v>
      </c>
      <c r="F840" s="8">
        <v>352380.95</v>
      </c>
      <c r="G840" t="s">
        <v>135</v>
      </c>
    </row>
    <row r="841" spans="1:7" x14ac:dyDescent="0.25">
      <c r="A841" t="s">
        <v>159</v>
      </c>
      <c r="B841" t="s">
        <v>33</v>
      </c>
      <c r="C841" t="s">
        <v>34</v>
      </c>
      <c r="D841" s="7">
        <v>46013</v>
      </c>
      <c r="E841" t="s">
        <v>123</v>
      </c>
      <c r="F841" s="8">
        <v>587095</v>
      </c>
      <c r="G841" t="s">
        <v>135</v>
      </c>
    </row>
    <row r="842" spans="1:7" x14ac:dyDescent="0.25">
      <c r="A842" t="s">
        <v>159</v>
      </c>
      <c r="B842" t="s">
        <v>33</v>
      </c>
      <c r="C842" t="s">
        <v>34</v>
      </c>
      <c r="D842" s="7">
        <v>46018</v>
      </c>
      <c r="E842" t="s">
        <v>191</v>
      </c>
      <c r="F842" s="8">
        <v>263405</v>
      </c>
      <c r="G842" t="s">
        <v>135</v>
      </c>
    </row>
    <row r="843" spans="1:7" x14ac:dyDescent="0.25">
      <c r="A843" t="s">
        <v>159</v>
      </c>
      <c r="B843" t="s">
        <v>33</v>
      </c>
      <c r="C843" t="s">
        <v>34</v>
      </c>
      <c r="D843" s="7">
        <v>46025</v>
      </c>
      <c r="E843" t="s">
        <v>237</v>
      </c>
      <c r="F843" s="8">
        <v>140960</v>
      </c>
      <c r="G843" t="s">
        <v>135</v>
      </c>
    </row>
    <row r="844" spans="1:7" x14ac:dyDescent="0.25">
      <c r="A844" t="s">
        <v>159</v>
      </c>
      <c r="B844" t="s">
        <v>33</v>
      </c>
      <c r="C844" t="s">
        <v>34</v>
      </c>
      <c r="D844" s="7">
        <v>46038</v>
      </c>
      <c r="E844" t="s">
        <v>123</v>
      </c>
      <c r="F844" s="8">
        <v>401736</v>
      </c>
      <c r="G844" t="s">
        <v>135</v>
      </c>
    </row>
    <row r="845" spans="1:7" x14ac:dyDescent="0.25">
      <c r="A845" t="s">
        <v>159</v>
      </c>
      <c r="B845" t="s">
        <v>33</v>
      </c>
      <c r="C845" t="s">
        <v>34</v>
      </c>
      <c r="D845" s="7">
        <v>46045</v>
      </c>
      <c r="E845" t="s">
        <v>37</v>
      </c>
      <c r="F845" s="8">
        <v>1832381</v>
      </c>
      <c r="G845" t="s">
        <v>135</v>
      </c>
    </row>
    <row r="846" spans="1:7" x14ac:dyDescent="0.25">
      <c r="A846" t="s">
        <v>159</v>
      </c>
      <c r="B846" t="s">
        <v>38</v>
      </c>
      <c r="C846" t="s">
        <v>39</v>
      </c>
      <c r="D846" s="7">
        <v>46046</v>
      </c>
      <c r="E846" t="s">
        <v>238</v>
      </c>
      <c r="F846" s="8">
        <v>1333334</v>
      </c>
      <c r="G846" t="s">
        <v>135</v>
      </c>
    </row>
    <row r="847" spans="1:7" x14ac:dyDescent="0.25">
      <c r="A847" t="s">
        <v>159</v>
      </c>
      <c r="B847" t="s">
        <v>33</v>
      </c>
      <c r="C847" t="s">
        <v>34</v>
      </c>
      <c r="D847" s="7">
        <v>46047</v>
      </c>
      <c r="E847" t="s">
        <v>68</v>
      </c>
      <c r="F847" s="8">
        <v>30375</v>
      </c>
      <c r="G847" t="s">
        <v>135</v>
      </c>
    </row>
    <row r="848" spans="1:7" x14ac:dyDescent="0.25">
      <c r="A848" t="s">
        <v>159</v>
      </c>
      <c r="B848" t="s">
        <v>33</v>
      </c>
      <c r="C848" t="s">
        <v>34</v>
      </c>
      <c r="D848" s="7">
        <v>46049</v>
      </c>
      <c r="E848" t="s">
        <v>218</v>
      </c>
      <c r="F848" s="8">
        <v>222857.5</v>
      </c>
      <c r="G848" t="s">
        <v>135</v>
      </c>
    </row>
    <row r="849" spans="1:7" x14ac:dyDescent="0.25">
      <c r="A849" t="s">
        <v>159</v>
      </c>
      <c r="B849" t="s">
        <v>33</v>
      </c>
      <c r="C849" t="s">
        <v>39</v>
      </c>
      <c r="D849" s="7">
        <v>46051</v>
      </c>
      <c r="E849" t="s">
        <v>239</v>
      </c>
      <c r="F849" s="8">
        <v>952381</v>
      </c>
      <c r="G849" t="s">
        <v>135</v>
      </c>
    </row>
    <row r="850" spans="1:7" x14ac:dyDescent="0.25">
      <c r="A850" t="s">
        <v>159</v>
      </c>
      <c r="B850" t="s">
        <v>38</v>
      </c>
      <c r="C850" t="s">
        <v>39</v>
      </c>
      <c r="D850" s="7">
        <v>46051</v>
      </c>
      <c r="E850" t="s">
        <v>234</v>
      </c>
      <c r="F850" s="8">
        <v>95238.1</v>
      </c>
      <c r="G850" t="s">
        <v>135</v>
      </c>
    </row>
    <row r="851" spans="1:7" x14ac:dyDescent="0.25">
      <c r="A851" t="s">
        <v>159</v>
      </c>
      <c r="B851" t="s">
        <v>38</v>
      </c>
      <c r="C851" t="s">
        <v>39</v>
      </c>
      <c r="D851" s="7">
        <v>46057</v>
      </c>
      <c r="E851" t="s">
        <v>240</v>
      </c>
      <c r="F851" s="8">
        <v>3981570</v>
      </c>
      <c r="G851" t="s">
        <v>135</v>
      </c>
    </row>
  </sheetData>
  <autoFilter ref="A1:G85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8" customWidth="1"/>
    <col min="3" max="5" width="13" customWidth="1"/>
    <col min="6" max="6" width="12" customWidth="1"/>
    <col min="7" max="7" width="14" customWidth="1"/>
  </cols>
  <sheetData>
    <row r="1" spans="1:7" ht="18" x14ac:dyDescent="0.25">
      <c r="A1" s="1" t="s">
        <v>241</v>
      </c>
    </row>
    <row r="3" spans="1:7" x14ac:dyDescent="0.25">
      <c r="A3" s="3" t="s">
        <v>242</v>
      </c>
      <c r="B3" s="3" t="s">
        <v>19</v>
      </c>
      <c r="C3" s="3" t="s">
        <v>243</v>
      </c>
      <c r="D3" s="3" t="s">
        <v>244</v>
      </c>
      <c r="E3" s="3" t="s">
        <v>245</v>
      </c>
      <c r="F3" s="3" t="s">
        <v>246</v>
      </c>
      <c r="G3" s="3" t="s">
        <v>247</v>
      </c>
    </row>
    <row r="4" spans="1:7" x14ac:dyDescent="0.25">
      <c r="A4" s="4" t="s">
        <v>248</v>
      </c>
      <c r="B4" s="5">
        <v>578</v>
      </c>
      <c r="C4" s="5">
        <v>514839</v>
      </c>
      <c r="D4" s="5">
        <v>349333</v>
      </c>
      <c r="E4" s="5">
        <v>511815</v>
      </c>
      <c r="F4" s="5">
        <v>10476</v>
      </c>
      <c r="G4" s="5">
        <v>4000000</v>
      </c>
    </row>
    <row r="5" spans="1:7" x14ac:dyDescent="0.25">
      <c r="A5" s="4" t="s">
        <v>249</v>
      </c>
      <c r="B5" s="5">
        <v>272</v>
      </c>
      <c r="C5" s="5">
        <v>995213</v>
      </c>
      <c r="D5" s="5">
        <v>565386</v>
      </c>
      <c r="E5" s="5">
        <v>1082649</v>
      </c>
      <c r="F5" s="5">
        <v>1907</v>
      </c>
      <c r="G5" s="5">
        <v>5041701</v>
      </c>
    </row>
    <row r="6" spans="1:7" x14ac:dyDescent="0.25">
      <c r="A6" s="4" t="s">
        <v>250</v>
      </c>
      <c r="B6" s="5">
        <v>79</v>
      </c>
      <c r="C6" s="9">
        <v>126.5</v>
      </c>
      <c r="D6" s="9">
        <v>120</v>
      </c>
      <c r="E6" s="9">
        <v>25.3</v>
      </c>
      <c r="F6" s="9">
        <v>89</v>
      </c>
      <c r="G6" s="9">
        <v>179.1</v>
      </c>
    </row>
    <row r="7" spans="1:7" x14ac:dyDescent="0.25">
      <c r="A7" s="4" t="s">
        <v>251</v>
      </c>
      <c r="B7" s="5">
        <v>130</v>
      </c>
      <c r="C7" s="5">
        <v>2272582</v>
      </c>
      <c r="D7" s="5">
        <v>893287</v>
      </c>
      <c r="E7" s="5">
        <v>4303064</v>
      </c>
      <c r="F7" s="5">
        <v>10476</v>
      </c>
      <c r="G7" s="5">
        <v>30087807</v>
      </c>
    </row>
    <row r="8" spans="1:7" x14ac:dyDescent="0.25">
      <c r="A8" s="4" t="s">
        <v>252</v>
      </c>
      <c r="B8" s="5">
        <v>130</v>
      </c>
      <c r="C8" s="9">
        <v>4.3</v>
      </c>
      <c r="D8" s="9">
        <v>2</v>
      </c>
      <c r="E8" s="9">
        <v>6</v>
      </c>
      <c r="F8" s="9">
        <v>1</v>
      </c>
      <c r="G8" s="9">
        <v>36</v>
      </c>
    </row>
    <row r="9" spans="1:7" x14ac:dyDescent="0.25">
      <c r="A9" s="4" t="s">
        <v>253</v>
      </c>
      <c r="B9" s="5">
        <v>130</v>
      </c>
      <c r="C9" s="9">
        <v>55.7</v>
      </c>
      <c r="D9" s="9">
        <v>54.8</v>
      </c>
      <c r="E9" s="9">
        <v>13.6</v>
      </c>
      <c r="F9" s="9">
        <v>27.8</v>
      </c>
      <c r="G9" s="9">
        <v>100</v>
      </c>
    </row>
    <row r="10" spans="1:7" x14ac:dyDescent="0.25">
      <c r="A10" s="4" t="s">
        <v>254</v>
      </c>
      <c r="B10" s="5">
        <v>3</v>
      </c>
      <c r="C10" s="9">
        <v>80.099999999999994</v>
      </c>
      <c r="D10" s="9">
        <v>119.9</v>
      </c>
      <c r="E10" s="9">
        <v>173.5</v>
      </c>
      <c r="F10" s="9">
        <v>-109.8</v>
      </c>
      <c r="G10" s="9">
        <v>230.2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Normal="100" workbookViewId="0">
      <selection activeCell="A3" sqref="A3:D7"/>
    </sheetView>
  </sheetViews>
  <sheetFormatPr defaultColWidth="8.7109375" defaultRowHeight="15" x14ac:dyDescent="0.25"/>
  <cols>
    <col min="1" max="1" width="15" customWidth="1"/>
    <col min="2" max="4" width="16" customWidth="1"/>
  </cols>
  <sheetData>
    <row r="1" spans="1:4" ht="18" x14ac:dyDescent="0.25">
      <c r="A1" s="1" t="s">
        <v>255</v>
      </c>
    </row>
    <row r="3" spans="1:4" x14ac:dyDescent="0.25">
      <c r="A3" s="3" t="s">
        <v>31</v>
      </c>
      <c r="B3" s="3" t="s">
        <v>256</v>
      </c>
      <c r="C3" s="3" t="s">
        <v>257</v>
      </c>
      <c r="D3" s="3" t="s">
        <v>258</v>
      </c>
    </row>
    <row r="4" spans="1:4" x14ac:dyDescent="0.25">
      <c r="A4" s="4" t="s">
        <v>36</v>
      </c>
      <c r="B4" s="5">
        <v>72524077</v>
      </c>
      <c r="C4" s="5">
        <v>73780058</v>
      </c>
      <c r="D4" s="10">
        <f>B4-C4</f>
        <v>-1255981</v>
      </c>
    </row>
    <row r="5" spans="1:4" x14ac:dyDescent="0.25">
      <c r="A5" s="4" t="s">
        <v>70</v>
      </c>
      <c r="B5" s="5">
        <v>76227072</v>
      </c>
      <c r="C5" s="5">
        <v>68141555</v>
      </c>
      <c r="D5" s="10">
        <f>B5-C5</f>
        <v>8085517</v>
      </c>
    </row>
    <row r="6" spans="1:4" x14ac:dyDescent="0.25">
      <c r="A6" s="4" t="s">
        <v>103</v>
      </c>
      <c r="B6" s="5">
        <v>81086538</v>
      </c>
      <c r="C6" s="5">
        <v>70636908</v>
      </c>
      <c r="D6" s="10">
        <f>B6-C6</f>
        <v>10449630</v>
      </c>
    </row>
    <row r="7" spans="1:4" x14ac:dyDescent="0.25">
      <c r="A7" s="4" t="s">
        <v>135</v>
      </c>
      <c r="B7" s="5">
        <v>67738985</v>
      </c>
      <c r="C7" s="5">
        <v>58139303</v>
      </c>
      <c r="D7" s="10">
        <f>B7-C7</f>
        <v>9599682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>
      <selection activeCell="M6" sqref="M6"/>
    </sheetView>
  </sheetViews>
  <sheetFormatPr defaultColWidth="8.7109375" defaultRowHeight="15" x14ac:dyDescent="0.25"/>
  <cols>
    <col min="1" max="3" width="16" customWidth="1"/>
  </cols>
  <sheetData>
    <row r="1" spans="1:3" ht="18" x14ac:dyDescent="0.25">
      <c r="A1" s="1" t="s">
        <v>259</v>
      </c>
    </row>
    <row r="3" spans="1:3" x14ac:dyDescent="0.25">
      <c r="A3" s="3" t="s">
        <v>260</v>
      </c>
      <c r="B3" s="3" t="s">
        <v>261</v>
      </c>
      <c r="C3" s="3" t="s">
        <v>262</v>
      </c>
    </row>
    <row r="4" spans="1:3" x14ac:dyDescent="0.25">
      <c r="A4" s="4" t="s">
        <v>263</v>
      </c>
      <c r="B4" s="5">
        <v>2527935</v>
      </c>
      <c r="C4" s="5">
        <v>2167929</v>
      </c>
    </row>
    <row r="5" spans="1:3" x14ac:dyDescent="0.25">
      <c r="A5" s="4" t="s">
        <v>264</v>
      </c>
      <c r="B5" s="5">
        <v>2181363</v>
      </c>
      <c r="C5" s="5">
        <v>1929917</v>
      </c>
    </row>
    <row r="6" spans="1:3" x14ac:dyDescent="0.25">
      <c r="A6" s="4" t="s">
        <v>265</v>
      </c>
      <c r="B6" s="5">
        <v>4304027</v>
      </c>
      <c r="C6" s="5">
        <v>3028328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9" customWidth="1"/>
    <col min="3" max="3" width="10" customWidth="1"/>
    <col min="4" max="5" width="9" customWidth="1"/>
  </cols>
  <sheetData>
    <row r="1" spans="1:5" ht="18" x14ac:dyDescent="0.25">
      <c r="A1" s="1" t="s">
        <v>266</v>
      </c>
    </row>
    <row r="3" spans="1:5" x14ac:dyDescent="0.25">
      <c r="A3" s="3" t="s">
        <v>267</v>
      </c>
      <c r="B3" s="3" t="s">
        <v>268</v>
      </c>
      <c r="C3" s="3" t="s">
        <v>269</v>
      </c>
      <c r="D3" s="3" t="s">
        <v>270</v>
      </c>
      <c r="E3" s="3" t="s">
        <v>271</v>
      </c>
    </row>
    <row r="4" spans="1:5" x14ac:dyDescent="0.25">
      <c r="A4" s="4" t="s">
        <v>272</v>
      </c>
      <c r="B4" s="9">
        <v>17.399999999999999</v>
      </c>
      <c r="C4" s="9">
        <v>-4.5999999999999996</v>
      </c>
      <c r="D4" s="9">
        <v>-0.22</v>
      </c>
      <c r="E4" s="4" t="s">
        <v>273</v>
      </c>
    </row>
    <row r="5" spans="1:5" x14ac:dyDescent="0.25">
      <c r="A5" s="4" t="s">
        <v>274</v>
      </c>
      <c r="B5" s="9">
        <v>20.2</v>
      </c>
      <c r="C5" s="9">
        <v>-1.8</v>
      </c>
      <c r="D5" s="9">
        <v>0.39</v>
      </c>
      <c r="E5" s="4" t="s">
        <v>273</v>
      </c>
    </row>
    <row r="6" spans="1:5" x14ac:dyDescent="0.25">
      <c r="A6" s="4" t="s">
        <v>275</v>
      </c>
      <c r="B6" s="9">
        <v>22.8</v>
      </c>
      <c r="C6" s="9">
        <v>0.8</v>
      </c>
      <c r="D6" s="9">
        <v>0.95</v>
      </c>
      <c r="E6" s="4" t="s">
        <v>273</v>
      </c>
    </row>
    <row r="7" spans="1:5" x14ac:dyDescent="0.25">
      <c r="A7" s="4" t="s">
        <v>276</v>
      </c>
      <c r="B7" s="9">
        <v>19.8</v>
      </c>
      <c r="C7" s="9">
        <v>-2.2000000000000002</v>
      </c>
      <c r="D7" s="9">
        <v>0.28999999999999998</v>
      </c>
      <c r="E7" s="4" t="s">
        <v>273</v>
      </c>
    </row>
    <row r="8" spans="1:5" x14ac:dyDescent="0.25">
      <c r="A8" s="4" t="s">
        <v>277</v>
      </c>
      <c r="B8" s="9">
        <v>10.8</v>
      </c>
      <c r="C8" s="9">
        <v>-11.2</v>
      </c>
      <c r="D8" s="9">
        <v>-1.66</v>
      </c>
      <c r="E8" s="4" t="s">
        <v>278</v>
      </c>
    </row>
    <row r="9" spans="1:5" x14ac:dyDescent="0.25">
      <c r="A9" s="4" t="s">
        <v>279</v>
      </c>
      <c r="B9" s="9">
        <v>17.8</v>
      </c>
      <c r="C9" s="9">
        <v>-4.2</v>
      </c>
      <c r="D9" s="9">
        <v>-0.16</v>
      </c>
      <c r="E9" s="4" t="s">
        <v>273</v>
      </c>
    </row>
    <row r="10" spans="1:5" x14ac:dyDescent="0.25">
      <c r="A10" s="4" t="s">
        <v>280</v>
      </c>
      <c r="B10" s="9">
        <v>13.9</v>
      </c>
      <c r="C10" s="9">
        <v>-8.1</v>
      </c>
      <c r="D10" s="9">
        <v>-1</v>
      </c>
      <c r="E10" s="4" t="s">
        <v>273</v>
      </c>
    </row>
    <row r="11" spans="1:5" x14ac:dyDescent="0.25">
      <c r="A11" s="4" t="s">
        <v>281</v>
      </c>
      <c r="B11" s="9">
        <v>25</v>
      </c>
      <c r="C11" s="9">
        <v>3</v>
      </c>
      <c r="D11" s="9">
        <v>1.42</v>
      </c>
      <c r="E11" s="4" t="s">
        <v>273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14" customWidth="1"/>
    <col min="3" max="3" width="18" customWidth="1"/>
  </cols>
  <sheetData>
    <row r="1" spans="1:2" ht="18" x14ac:dyDescent="0.25">
      <c r="A1" s="1" t="s">
        <v>282</v>
      </c>
    </row>
    <row r="2" spans="1:2" x14ac:dyDescent="0.25">
      <c r="A2" s="6" t="s">
        <v>283</v>
      </c>
    </row>
    <row r="4" spans="1:2" x14ac:dyDescent="0.25">
      <c r="A4" s="2" t="s">
        <v>284</v>
      </c>
    </row>
    <row r="5" spans="1:2" x14ac:dyDescent="0.25">
      <c r="A5" s="4" t="s">
        <v>285</v>
      </c>
      <c r="B5" s="11">
        <v>123.2</v>
      </c>
    </row>
    <row r="6" spans="1:2" x14ac:dyDescent="0.25">
      <c r="A6" s="4" t="s">
        <v>286</v>
      </c>
      <c r="B6" s="12">
        <v>0.22</v>
      </c>
    </row>
    <row r="7" spans="1:2" x14ac:dyDescent="0.25">
      <c r="A7" s="4" t="s">
        <v>287</v>
      </c>
      <c r="B7" s="11">
        <v>30</v>
      </c>
    </row>
    <row r="8" spans="1:2" x14ac:dyDescent="0.25">
      <c r="A8" s="4" t="s">
        <v>288</v>
      </c>
      <c r="B8" s="11">
        <v>709.8</v>
      </c>
    </row>
    <row r="9" spans="1:2" x14ac:dyDescent="0.25">
      <c r="A9" s="4"/>
      <c r="B9" s="13"/>
    </row>
    <row r="10" spans="1:2" x14ac:dyDescent="0.25">
      <c r="A10" s="14" t="s">
        <v>289</v>
      </c>
      <c r="B10" s="13"/>
    </row>
    <row r="11" spans="1:2" x14ac:dyDescent="0.25">
      <c r="A11" s="4" t="s">
        <v>290</v>
      </c>
      <c r="B11" s="13">
        <f>B5/B6</f>
        <v>560</v>
      </c>
    </row>
    <row r="12" spans="1:2" x14ac:dyDescent="0.25">
      <c r="A12" s="4" t="s">
        <v>291</v>
      </c>
      <c r="B12" s="13">
        <f>B11+B7</f>
        <v>590</v>
      </c>
    </row>
    <row r="13" spans="1:2" x14ac:dyDescent="0.25">
      <c r="A13" s="4" t="s">
        <v>292</v>
      </c>
      <c r="B13" s="13">
        <f>B8-B12</f>
        <v>119.79999999999995</v>
      </c>
    </row>
    <row r="14" spans="1:2" x14ac:dyDescent="0.25">
      <c r="A14" s="4" t="s">
        <v>293</v>
      </c>
      <c r="B14" s="15">
        <f>B13/B8</f>
        <v>0.16877993801070718</v>
      </c>
    </row>
    <row r="15" spans="1:2" x14ac:dyDescent="0.25">
      <c r="A15" s="4" t="s">
        <v>294</v>
      </c>
      <c r="B15" s="13">
        <f>B12</f>
        <v>590</v>
      </c>
    </row>
    <row r="16" spans="1:2" x14ac:dyDescent="0.25">
      <c r="A16" s="4" t="s">
        <v>295</v>
      </c>
      <c r="B16" s="15">
        <f>B5/(B8-B7)</f>
        <v>0.18122977346278318</v>
      </c>
    </row>
    <row r="18" spans="1:3" x14ac:dyDescent="0.25">
      <c r="A18" s="2" t="s">
        <v>296</v>
      </c>
    </row>
    <row r="19" spans="1:3" x14ac:dyDescent="0.25">
      <c r="A19" s="3" t="s">
        <v>297</v>
      </c>
      <c r="B19" s="3" t="s">
        <v>298</v>
      </c>
      <c r="C19" s="3" t="s">
        <v>299</v>
      </c>
    </row>
    <row r="20" spans="1:3" x14ac:dyDescent="0.25">
      <c r="A20" s="4" t="s">
        <v>300</v>
      </c>
      <c r="B20" s="5">
        <v>820</v>
      </c>
      <c r="C20" s="10">
        <f>B20-B12</f>
        <v>230</v>
      </c>
    </row>
    <row r="21" spans="1:3" x14ac:dyDescent="0.25">
      <c r="A21" s="4" t="s">
        <v>301</v>
      </c>
      <c r="B21" s="5">
        <v>480</v>
      </c>
      <c r="C21" s="10">
        <f>B21-B12</f>
        <v>-110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Normal="100" workbookViewId="0"/>
  </sheetViews>
  <sheetFormatPr defaultColWidth="8.7109375" defaultRowHeight="15" x14ac:dyDescent="0.25"/>
  <cols>
    <col min="1" max="1" width="16" customWidth="1"/>
  </cols>
  <sheetData>
    <row r="1" spans="1:6" ht="18" x14ac:dyDescent="0.25">
      <c r="A1" s="1" t="s">
        <v>302</v>
      </c>
    </row>
    <row r="2" spans="1:6" x14ac:dyDescent="0.25">
      <c r="A2" s="6" t="s">
        <v>303</v>
      </c>
    </row>
    <row r="4" spans="1:6" x14ac:dyDescent="0.25">
      <c r="A4" s="16" t="s">
        <v>304</v>
      </c>
      <c r="B4" s="3" t="s">
        <v>305</v>
      </c>
      <c r="C4" s="3" t="s">
        <v>306</v>
      </c>
      <c r="D4" s="3" t="s">
        <v>307</v>
      </c>
      <c r="E4" s="3" t="s">
        <v>308</v>
      </c>
      <c r="F4" s="3" t="s">
        <v>309</v>
      </c>
    </row>
    <row r="5" spans="1:6" x14ac:dyDescent="0.25">
      <c r="A5" s="3" t="s">
        <v>305</v>
      </c>
      <c r="B5" s="10">
        <f>'P&amp;L Model'!$B$8*(1+-0.1)-('P&amp;L Model'!$B$5*(1+-0.1)/'P&amp;L Model'!$B$6+'P&amp;L Model'!$B$7)</f>
        <v>104.81999999999994</v>
      </c>
      <c r="C5" s="10">
        <f>'P&amp;L Model'!$B$8*(1+-0.05)-('P&amp;L Model'!$B$5*(1+-0.1)/'P&amp;L Model'!$B$6+'P&amp;L Model'!$B$7)</f>
        <v>140.30999999999995</v>
      </c>
      <c r="D5" s="10">
        <f>'P&amp;L Model'!$B$8*(1+0)-('P&amp;L Model'!$B$5*(1+-0.1)/'P&amp;L Model'!$B$6+'P&amp;L Model'!$B$7)</f>
        <v>175.79999999999995</v>
      </c>
      <c r="E5" s="10">
        <f>'P&amp;L Model'!$B$8*(1+0.05)-('P&amp;L Model'!$B$5*(1+-0.1)/'P&amp;L Model'!$B$6+'P&amp;L Model'!$B$7)</f>
        <v>211.28999999999996</v>
      </c>
      <c r="F5" s="10">
        <f>'P&amp;L Model'!$B$8*(1+0.1)-('P&amp;L Model'!$B$5*(1+-0.1)/'P&amp;L Model'!$B$6+'P&amp;L Model'!$B$7)</f>
        <v>246.77999999999997</v>
      </c>
    </row>
    <row r="6" spans="1:6" x14ac:dyDescent="0.25">
      <c r="A6" s="3" t="s">
        <v>306</v>
      </c>
      <c r="B6" s="10">
        <f>'P&amp;L Model'!$B$8*(1+-0.1)-('P&amp;L Model'!$B$5*(1+-0.05)/'P&amp;L Model'!$B$6+'P&amp;L Model'!$B$7)</f>
        <v>76.819999999999936</v>
      </c>
      <c r="C6" s="10">
        <f>'P&amp;L Model'!$B$8*(1+-0.05)-('P&amp;L Model'!$B$5*(1+-0.05)/'P&amp;L Model'!$B$6+'P&amp;L Model'!$B$7)</f>
        <v>112.30999999999995</v>
      </c>
      <c r="D6" s="10">
        <f>'P&amp;L Model'!$B$8*(1+0)-('P&amp;L Model'!$B$5*(1+-0.05)/'P&amp;L Model'!$B$6+'P&amp;L Model'!$B$7)</f>
        <v>147.79999999999995</v>
      </c>
      <c r="E6" s="10">
        <f>'P&amp;L Model'!$B$8*(1+0.05)-('P&amp;L Model'!$B$5*(1+-0.05)/'P&amp;L Model'!$B$6+'P&amp;L Model'!$B$7)</f>
        <v>183.28999999999996</v>
      </c>
      <c r="F6" s="10">
        <f>'P&amp;L Model'!$B$8*(1+0.1)-('P&amp;L Model'!$B$5*(1+-0.05)/'P&amp;L Model'!$B$6+'P&amp;L Model'!$B$7)</f>
        <v>218.77999999999997</v>
      </c>
    </row>
    <row r="7" spans="1:6" x14ac:dyDescent="0.25">
      <c r="A7" s="3" t="s">
        <v>307</v>
      </c>
      <c r="B7" s="10">
        <f>'P&amp;L Model'!$B$8*(1+-0.1)-('P&amp;L Model'!$B$5*(1+0)/'P&amp;L Model'!$B$6+'P&amp;L Model'!$B$7)</f>
        <v>48.819999999999936</v>
      </c>
      <c r="C7" s="10">
        <f>'P&amp;L Model'!$B$8*(1+-0.05)-('P&amp;L Model'!$B$5*(1+0)/'P&amp;L Model'!$B$6+'P&amp;L Model'!$B$7)</f>
        <v>84.309999999999945</v>
      </c>
      <c r="D7" s="10">
        <f>'P&amp;L Model'!$B$8*(1+0)-('P&amp;L Model'!$B$5*(1+0)/'P&amp;L Model'!$B$6+'P&amp;L Model'!$B$7)</f>
        <v>119.79999999999995</v>
      </c>
      <c r="E7" s="10">
        <f>'P&amp;L Model'!$B$8*(1+0.05)-('P&amp;L Model'!$B$5*(1+0)/'P&amp;L Model'!$B$6+'P&amp;L Model'!$B$7)</f>
        <v>155.28999999999996</v>
      </c>
      <c r="F7" s="10">
        <f>'P&amp;L Model'!$B$8*(1+0.1)-('P&amp;L Model'!$B$5*(1+0)/'P&amp;L Model'!$B$6+'P&amp;L Model'!$B$7)</f>
        <v>190.77999999999997</v>
      </c>
    </row>
    <row r="8" spans="1:6" x14ac:dyDescent="0.25">
      <c r="A8" s="3" t="s">
        <v>308</v>
      </c>
      <c r="B8" s="10">
        <f>'P&amp;L Model'!$B$8*(1+-0.1)-('P&amp;L Model'!$B$5*(1+0.05)/'P&amp;L Model'!$B$6+'P&amp;L Model'!$B$7)</f>
        <v>20.819999999999823</v>
      </c>
      <c r="C8" s="10">
        <f>'P&amp;L Model'!$B$8*(1+-0.05)-('P&amp;L Model'!$B$5*(1+0.05)/'P&amp;L Model'!$B$6+'P&amp;L Model'!$B$7)</f>
        <v>56.309999999999832</v>
      </c>
      <c r="D8" s="10">
        <f>'P&amp;L Model'!$B$8*(1+0)-('P&amp;L Model'!$B$5*(1+0.05)/'P&amp;L Model'!$B$6+'P&amp;L Model'!$B$7)</f>
        <v>91.799999999999841</v>
      </c>
      <c r="E8" s="10">
        <f>'P&amp;L Model'!$B$8*(1+0.05)-('P&amp;L Model'!$B$5*(1+0.05)/'P&amp;L Model'!$B$6+'P&amp;L Model'!$B$7)</f>
        <v>127.28999999999985</v>
      </c>
      <c r="F8" s="10">
        <f>'P&amp;L Model'!$B$8*(1+0.1)-('P&amp;L Model'!$B$5*(1+0.05)/'P&amp;L Model'!$B$6+'P&amp;L Model'!$B$7)</f>
        <v>162.77999999999986</v>
      </c>
    </row>
    <row r="9" spans="1:6" x14ac:dyDescent="0.25">
      <c r="A9" s="3" t="s">
        <v>309</v>
      </c>
      <c r="B9" s="10">
        <f>'P&amp;L Model'!$B$8*(1+-0.1)-('P&amp;L Model'!$B$5*(1+0.1)/'P&amp;L Model'!$B$6+'P&amp;L Model'!$B$7)</f>
        <v>-7.1800000000000637</v>
      </c>
      <c r="C9" s="10">
        <f>'P&amp;L Model'!$B$8*(1+-0.05)-('P&amp;L Model'!$B$5*(1+0.1)/'P&amp;L Model'!$B$6+'P&amp;L Model'!$B$7)</f>
        <v>28.309999999999945</v>
      </c>
      <c r="D9" s="10">
        <f>'P&amp;L Model'!$B$8*(1+0)-('P&amp;L Model'!$B$5*(1+0.1)/'P&amp;L Model'!$B$6+'P&amp;L Model'!$B$7)</f>
        <v>63.799999999999955</v>
      </c>
      <c r="E9" s="10">
        <f>'P&amp;L Model'!$B$8*(1+0.05)-('P&amp;L Model'!$B$5*(1+0.1)/'P&amp;L Model'!$B$6+'P&amp;L Model'!$B$7)</f>
        <v>99.289999999999964</v>
      </c>
      <c r="F9" s="10">
        <f>'P&amp;L Model'!$B$8*(1+0.1)-('P&amp;L Model'!$B$5*(1+0.1)/'P&amp;L Model'!$B$6+'P&amp;L Model'!$B$7)</f>
        <v>134.77999999999997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zoomScaleNormal="100" workbookViewId="0">
      <selection activeCell="S19" sqref="S19"/>
    </sheetView>
  </sheetViews>
  <sheetFormatPr defaultColWidth="8.7109375" defaultRowHeight="15" x14ac:dyDescent="0.25"/>
  <cols>
    <col min="1" max="1" width="30" customWidth="1"/>
    <col min="2" max="2" width="15" customWidth="1"/>
    <col min="3" max="3" width="8" customWidth="1"/>
    <col min="4" max="4" width="11" customWidth="1"/>
    <col min="5" max="5" width="8" customWidth="1"/>
    <col min="6" max="6" width="9" customWidth="1"/>
    <col min="7" max="7" width="15" customWidth="1"/>
  </cols>
  <sheetData>
    <row r="1" spans="1:7" ht="18" x14ac:dyDescent="0.25">
      <c r="A1" s="1" t="s">
        <v>310</v>
      </c>
    </row>
    <row r="3" spans="1:7" x14ac:dyDescent="0.25">
      <c r="A3" s="3" t="s">
        <v>311</v>
      </c>
      <c r="B3" s="3" t="s">
        <v>312</v>
      </c>
      <c r="C3" s="3" t="s">
        <v>313</v>
      </c>
    </row>
    <row r="4" spans="1:7" x14ac:dyDescent="0.25">
      <c r="A4" s="4" t="s">
        <v>314</v>
      </c>
      <c r="B4" s="17">
        <v>7</v>
      </c>
      <c r="C4" s="5">
        <v>14125000</v>
      </c>
    </row>
    <row r="5" spans="1:7" x14ac:dyDescent="0.25">
      <c r="A5" s="4" t="s">
        <v>315</v>
      </c>
      <c r="B5" s="17">
        <v>90</v>
      </c>
      <c r="C5" s="5">
        <v>44005000</v>
      </c>
    </row>
    <row r="6" spans="1:7" x14ac:dyDescent="0.25">
      <c r="A6" s="4" t="s">
        <v>316</v>
      </c>
      <c r="B6" s="17">
        <v>33</v>
      </c>
      <c r="C6" s="5">
        <v>8961000</v>
      </c>
    </row>
    <row r="8" spans="1:7" x14ac:dyDescent="0.25">
      <c r="A8" s="6" t="s">
        <v>317</v>
      </c>
    </row>
    <row r="10" spans="1:7" x14ac:dyDescent="0.25">
      <c r="A10" s="2" t="s">
        <v>318</v>
      </c>
    </row>
    <row r="11" spans="1:7" x14ac:dyDescent="0.25">
      <c r="A11" s="3" t="s">
        <v>319</v>
      </c>
      <c r="B11" s="3" t="s">
        <v>320</v>
      </c>
      <c r="C11" s="3" t="s">
        <v>321</v>
      </c>
      <c r="D11" s="3" t="s">
        <v>322</v>
      </c>
      <c r="E11" s="3" t="s">
        <v>323</v>
      </c>
      <c r="F11" s="3" t="s">
        <v>311</v>
      </c>
      <c r="G11" s="3" t="s">
        <v>324</v>
      </c>
    </row>
    <row r="12" spans="1:7" x14ac:dyDescent="0.25">
      <c r="A12" s="4" t="s">
        <v>37</v>
      </c>
      <c r="B12" s="5">
        <v>30087807</v>
      </c>
      <c r="C12" s="17">
        <v>26</v>
      </c>
      <c r="D12" s="17">
        <v>18</v>
      </c>
      <c r="E12" s="17">
        <v>29.6</v>
      </c>
      <c r="F12" s="4" t="s">
        <v>314</v>
      </c>
      <c r="G12" s="5">
        <v>2616000</v>
      </c>
    </row>
    <row r="13" spans="1:7" x14ac:dyDescent="0.25">
      <c r="A13" s="4" t="s">
        <v>83</v>
      </c>
      <c r="B13" s="5">
        <v>24082072</v>
      </c>
      <c r="C13" s="17">
        <v>13</v>
      </c>
      <c r="D13" s="17">
        <v>470</v>
      </c>
      <c r="E13" s="17">
        <v>51.4</v>
      </c>
      <c r="F13" s="4" t="s">
        <v>315</v>
      </c>
      <c r="G13" s="5">
        <v>2189000</v>
      </c>
    </row>
    <row r="14" spans="1:7" x14ac:dyDescent="0.25">
      <c r="A14" s="4" t="s">
        <v>99</v>
      </c>
      <c r="B14" s="5">
        <v>20570081</v>
      </c>
      <c r="C14" s="17">
        <v>19</v>
      </c>
      <c r="D14" s="17">
        <v>83</v>
      </c>
      <c r="E14" s="17">
        <v>30.9</v>
      </c>
      <c r="F14" s="4" t="s">
        <v>314</v>
      </c>
      <c r="G14" s="5">
        <v>2571000</v>
      </c>
    </row>
    <row r="15" spans="1:7" x14ac:dyDescent="0.25">
      <c r="A15" s="4" t="s">
        <v>191</v>
      </c>
      <c r="B15" s="5">
        <v>17125429</v>
      </c>
      <c r="C15" s="17">
        <v>33</v>
      </c>
      <c r="D15" s="17">
        <v>45</v>
      </c>
      <c r="E15" s="17">
        <v>31.1</v>
      </c>
      <c r="F15" s="4" t="s">
        <v>314</v>
      </c>
      <c r="G15" s="5">
        <v>1489000</v>
      </c>
    </row>
    <row r="16" spans="1:7" x14ac:dyDescent="0.25">
      <c r="A16" s="4" t="s">
        <v>59</v>
      </c>
      <c r="B16" s="5">
        <v>10391863</v>
      </c>
      <c r="C16" s="17">
        <v>16</v>
      </c>
      <c r="D16" s="17">
        <v>524</v>
      </c>
      <c r="E16" s="17">
        <v>44.9</v>
      </c>
      <c r="F16" s="4" t="s">
        <v>315</v>
      </c>
      <c r="G16" s="5">
        <v>1039000</v>
      </c>
    </row>
    <row r="17" spans="1:7" x14ac:dyDescent="0.25">
      <c r="A17" s="4" t="s">
        <v>47</v>
      </c>
      <c r="B17" s="5">
        <v>10064274</v>
      </c>
      <c r="C17" s="17">
        <v>7</v>
      </c>
      <c r="D17" s="17">
        <v>615</v>
      </c>
      <c r="E17" s="17">
        <v>58.1</v>
      </c>
      <c r="F17" s="4" t="s">
        <v>315</v>
      </c>
      <c r="G17" s="5">
        <v>1438000</v>
      </c>
    </row>
    <row r="18" spans="1:7" x14ac:dyDescent="0.25">
      <c r="A18" s="4" t="s">
        <v>73</v>
      </c>
      <c r="B18" s="5">
        <v>7999480</v>
      </c>
      <c r="C18" s="17">
        <v>36</v>
      </c>
      <c r="D18" s="17">
        <v>301</v>
      </c>
      <c r="E18" s="17">
        <v>34.5</v>
      </c>
      <c r="F18" s="4" t="s">
        <v>315</v>
      </c>
      <c r="G18" s="5">
        <v>308000</v>
      </c>
    </row>
    <row r="19" spans="1:7" x14ac:dyDescent="0.25">
      <c r="A19" s="4" t="s">
        <v>48</v>
      </c>
      <c r="B19" s="5">
        <v>7725387</v>
      </c>
      <c r="C19" s="17">
        <v>26</v>
      </c>
      <c r="D19" s="17">
        <v>208</v>
      </c>
      <c r="E19" s="17">
        <v>30.4</v>
      </c>
      <c r="F19" s="4" t="s">
        <v>314</v>
      </c>
      <c r="G19" s="5">
        <v>858000</v>
      </c>
    </row>
    <row r="20" spans="1:7" x14ac:dyDescent="0.25">
      <c r="A20" s="4" t="s">
        <v>109</v>
      </c>
      <c r="B20" s="5">
        <v>7561262</v>
      </c>
      <c r="C20" s="17">
        <v>11</v>
      </c>
      <c r="D20" s="17">
        <v>497</v>
      </c>
      <c r="E20" s="17">
        <v>45.1</v>
      </c>
      <c r="F20" s="4" t="s">
        <v>315</v>
      </c>
      <c r="G20" s="5">
        <v>945000</v>
      </c>
    </row>
    <row r="21" spans="1:7" x14ac:dyDescent="0.25">
      <c r="A21" s="4" t="s">
        <v>105</v>
      </c>
      <c r="B21" s="5">
        <v>7119041</v>
      </c>
      <c r="C21" s="17">
        <v>22</v>
      </c>
      <c r="D21" s="17">
        <v>31</v>
      </c>
      <c r="E21" s="17">
        <v>27.9</v>
      </c>
      <c r="F21" s="4" t="s">
        <v>314</v>
      </c>
      <c r="G21" s="5">
        <v>1187000</v>
      </c>
    </row>
    <row r="22" spans="1:7" x14ac:dyDescent="0.25">
      <c r="A22" s="4" t="s">
        <v>179</v>
      </c>
      <c r="B22" s="5">
        <v>5692491</v>
      </c>
      <c r="C22" s="17">
        <v>6</v>
      </c>
      <c r="D22" s="17">
        <v>222</v>
      </c>
      <c r="E22" s="17">
        <v>43.5</v>
      </c>
      <c r="F22" s="4" t="s">
        <v>315</v>
      </c>
      <c r="G22" s="5">
        <v>949000</v>
      </c>
    </row>
    <row r="23" spans="1:7" x14ac:dyDescent="0.25">
      <c r="A23" s="4" t="s">
        <v>79</v>
      </c>
      <c r="B23" s="5">
        <v>5687173</v>
      </c>
      <c r="C23" s="17">
        <v>13</v>
      </c>
      <c r="D23" s="17">
        <v>389</v>
      </c>
      <c r="E23" s="17">
        <v>43.9</v>
      </c>
      <c r="F23" s="4" t="s">
        <v>315</v>
      </c>
      <c r="G23" s="5">
        <v>632000</v>
      </c>
    </row>
    <row r="24" spans="1:7" x14ac:dyDescent="0.25">
      <c r="A24" s="4" t="s">
        <v>69</v>
      </c>
      <c r="B24" s="5">
        <v>5079971</v>
      </c>
      <c r="C24" s="17">
        <v>8</v>
      </c>
      <c r="D24" s="17">
        <v>194</v>
      </c>
      <c r="E24" s="17">
        <v>39.1</v>
      </c>
      <c r="F24" s="4" t="s">
        <v>315</v>
      </c>
      <c r="G24" s="5">
        <v>726000</v>
      </c>
    </row>
    <row r="25" spans="1:7" x14ac:dyDescent="0.25">
      <c r="A25" s="4" t="s">
        <v>178</v>
      </c>
      <c r="B25" s="5">
        <v>4956847</v>
      </c>
      <c r="C25" s="17">
        <v>8</v>
      </c>
      <c r="D25" s="17">
        <v>167</v>
      </c>
      <c r="E25" s="17">
        <v>37.4</v>
      </c>
      <c r="F25" s="4" t="s">
        <v>315</v>
      </c>
      <c r="G25" s="5">
        <v>708000</v>
      </c>
    </row>
    <row r="26" spans="1:7" x14ac:dyDescent="0.25">
      <c r="A26" s="4" t="s">
        <v>162</v>
      </c>
      <c r="B26" s="5">
        <v>4715780</v>
      </c>
      <c r="C26" s="17">
        <v>3</v>
      </c>
      <c r="D26" s="17">
        <v>1175</v>
      </c>
      <c r="E26" s="17">
        <v>81.2</v>
      </c>
      <c r="F26" s="4" t="s">
        <v>316</v>
      </c>
      <c r="G26" s="5">
        <v>629000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tabSelected="1" zoomScaleNormal="100" workbookViewId="0"/>
  </sheetViews>
  <sheetFormatPr defaultColWidth="8.7109375" defaultRowHeight="15" x14ac:dyDescent="0.25"/>
  <cols>
    <col min="1" max="1" width="12" customWidth="1"/>
    <col min="2" max="3" width="9" customWidth="1"/>
    <col min="4" max="4" width="7" customWidth="1"/>
    <col min="5" max="5" width="26" customWidth="1"/>
    <col min="6" max="6" width="13" customWidth="1"/>
    <col min="7" max="7" width="7" customWidth="1"/>
    <col min="8" max="8" width="15" customWidth="1"/>
  </cols>
  <sheetData>
    <row r="1" spans="1:8" ht="18" x14ac:dyDescent="0.25">
      <c r="A1" s="1" t="s">
        <v>325</v>
      </c>
    </row>
    <row r="3" spans="1:8" x14ac:dyDescent="0.25">
      <c r="A3" s="6" t="s">
        <v>326</v>
      </c>
    </row>
    <row r="5" spans="1:8" x14ac:dyDescent="0.25">
      <c r="A5" s="3" t="s">
        <v>28</v>
      </c>
      <c r="B5" s="3" t="s">
        <v>25</v>
      </c>
      <c r="C5" s="3" t="s">
        <v>26</v>
      </c>
      <c r="D5" s="3" t="s">
        <v>27</v>
      </c>
      <c r="E5" s="3" t="s">
        <v>327</v>
      </c>
      <c r="F5" s="3" t="s">
        <v>30</v>
      </c>
      <c r="G5" s="3" t="s">
        <v>328</v>
      </c>
      <c r="H5" s="3" t="s">
        <v>329</v>
      </c>
    </row>
    <row r="6" spans="1:8" x14ac:dyDescent="0.25">
      <c r="A6" s="4" t="s">
        <v>330</v>
      </c>
      <c r="B6" s="4" t="s">
        <v>159</v>
      </c>
      <c r="C6" s="4" t="s">
        <v>38</v>
      </c>
      <c r="D6" s="4" t="s">
        <v>39</v>
      </c>
      <c r="E6" s="4" t="s">
        <v>172</v>
      </c>
      <c r="F6" s="5">
        <v>1907</v>
      </c>
      <c r="G6" s="4">
        <v>-0.92</v>
      </c>
      <c r="H6" s="4" t="s">
        <v>331</v>
      </c>
    </row>
    <row r="7" spans="1:8" x14ac:dyDescent="0.25">
      <c r="A7" s="4" t="s">
        <v>332</v>
      </c>
      <c r="B7" s="4" t="s">
        <v>32</v>
      </c>
      <c r="C7" s="4" t="s">
        <v>38</v>
      </c>
      <c r="D7" s="4" t="s">
        <v>39</v>
      </c>
      <c r="E7" s="4" t="s">
        <v>333</v>
      </c>
      <c r="F7" s="5">
        <v>20861</v>
      </c>
      <c r="G7" s="4">
        <v>-1.03</v>
      </c>
      <c r="H7" s="4" t="s">
        <v>331</v>
      </c>
    </row>
    <row r="8" spans="1:8" x14ac:dyDescent="0.25">
      <c r="A8" s="4" t="s">
        <v>334</v>
      </c>
      <c r="B8" s="4" t="s">
        <v>159</v>
      </c>
      <c r="C8" s="4" t="s">
        <v>38</v>
      </c>
      <c r="D8" s="4" t="s">
        <v>39</v>
      </c>
      <c r="E8" s="4" t="s">
        <v>333</v>
      </c>
      <c r="F8" s="5">
        <v>3035</v>
      </c>
      <c r="G8" s="4">
        <v>-0.91</v>
      </c>
      <c r="H8" s="4" t="s">
        <v>331</v>
      </c>
    </row>
    <row r="9" spans="1:8" x14ac:dyDescent="0.25">
      <c r="A9" s="4" t="s">
        <v>335</v>
      </c>
      <c r="B9" s="4" t="s">
        <v>159</v>
      </c>
      <c r="C9" s="4" t="s">
        <v>38</v>
      </c>
      <c r="D9" s="4" t="s">
        <v>39</v>
      </c>
      <c r="E9" s="4" t="s">
        <v>176</v>
      </c>
      <c r="F9" s="5">
        <v>10000</v>
      </c>
      <c r="G9" s="4">
        <v>-0.91</v>
      </c>
      <c r="H9" s="4" t="s">
        <v>331</v>
      </c>
    </row>
    <row r="10" spans="1:8" x14ac:dyDescent="0.25">
      <c r="A10" s="4" t="s">
        <v>336</v>
      </c>
      <c r="B10" s="4" t="s">
        <v>159</v>
      </c>
      <c r="C10" s="4" t="s">
        <v>38</v>
      </c>
      <c r="D10" s="4" t="s">
        <v>34</v>
      </c>
      <c r="E10" s="4" t="s">
        <v>204</v>
      </c>
      <c r="F10" s="5">
        <v>43000</v>
      </c>
      <c r="G10" s="4">
        <v>-1.38</v>
      </c>
      <c r="H10" s="4" t="s">
        <v>331</v>
      </c>
    </row>
    <row r="11" spans="1:8" x14ac:dyDescent="0.25">
      <c r="A11" s="4" t="s">
        <v>337</v>
      </c>
      <c r="B11" s="4" t="s">
        <v>159</v>
      </c>
      <c r="C11" s="4" t="s">
        <v>38</v>
      </c>
      <c r="D11" s="4" t="s">
        <v>34</v>
      </c>
      <c r="E11" s="4" t="s">
        <v>80</v>
      </c>
      <c r="F11" s="5">
        <v>47619</v>
      </c>
      <c r="G11" s="4">
        <v>-1.37</v>
      </c>
      <c r="H11" s="4" t="s">
        <v>331</v>
      </c>
    </row>
    <row r="12" spans="1:8" x14ac:dyDescent="0.25">
      <c r="A12" s="4" t="s">
        <v>338</v>
      </c>
      <c r="B12" s="4" t="s">
        <v>32</v>
      </c>
      <c r="C12" s="4" t="s">
        <v>38</v>
      </c>
      <c r="D12" s="4" t="s">
        <v>34</v>
      </c>
      <c r="E12" s="4" t="s">
        <v>339</v>
      </c>
      <c r="F12" s="5">
        <v>51900</v>
      </c>
      <c r="G12" s="4">
        <v>-1.2</v>
      </c>
      <c r="H12" s="4" t="s">
        <v>331</v>
      </c>
    </row>
    <row r="13" spans="1:8" x14ac:dyDescent="0.25">
      <c r="A13" s="4" t="s">
        <v>340</v>
      </c>
      <c r="B13" s="4" t="s">
        <v>159</v>
      </c>
      <c r="C13" s="4" t="s">
        <v>33</v>
      </c>
      <c r="D13" s="4" t="s">
        <v>39</v>
      </c>
      <c r="E13" s="4" t="s">
        <v>341</v>
      </c>
      <c r="F13" s="5">
        <v>3021429</v>
      </c>
      <c r="G13" s="4">
        <v>2.39</v>
      </c>
      <c r="H13" s="4" t="s">
        <v>331</v>
      </c>
    </row>
    <row r="14" spans="1:8" x14ac:dyDescent="0.25">
      <c r="A14" s="4" t="s">
        <v>342</v>
      </c>
      <c r="B14" s="4" t="s">
        <v>159</v>
      </c>
      <c r="C14" s="4" t="s">
        <v>33</v>
      </c>
      <c r="D14" s="4" t="s">
        <v>34</v>
      </c>
      <c r="E14" s="4" t="s">
        <v>201</v>
      </c>
      <c r="F14" s="5">
        <v>14286</v>
      </c>
      <c r="G14" s="4">
        <v>-1.01</v>
      </c>
      <c r="H14" s="4" t="s">
        <v>331</v>
      </c>
    </row>
    <row r="15" spans="1:8" x14ac:dyDescent="0.25">
      <c r="A15" s="4" t="s">
        <v>343</v>
      </c>
      <c r="B15" s="4" t="s">
        <v>32</v>
      </c>
      <c r="C15" s="4" t="s">
        <v>38</v>
      </c>
      <c r="D15" s="4" t="s">
        <v>39</v>
      </c>
      <c r="E15" s="4" t="s">
        <v>333</v>
      </c>
      <c r="F15" s="5">
        <v>17524</v>
      </c>
      <c r="G15" s="4">
        <v>-1.03</v>
      </c>
      <c r="H15" s="4" t="s">
        <v>331</v>
      </c>
    </row>
    <row r="16" spans="1:8" x14ac:dyDescent="0.25">
      <c r="A16" s="4" t="s">
        <v>344</v>
      </c>
      <c r="B16" s="4" t="s">
        <v>159</v>
      </c>
      <c r="C16" s="4" t="s">
        <v>38</v>
      </c>
      <c r="D16" s="4" t="s">
        <v>39</v>
      </c>
      <c r="E16" s="4" t="s">
        <v>345</v>
      </c>
      <c r="F16" s="5">
        <v>14578</v>
      </c>
      <c r="G16" s="4">
        <v>-0.91</v>
      </c>
      <c r="H16" s="4" t="s">
        <v>331</v>
      </c>
    </row>
    <row r="17" spans="1:8" x14ac:dyDescent="0.25">
      <c r="A17" s="4" t="s">
        <v>346</v>
      </c>
      <c r="B17" s="4" t="s">
        <v>32</v>
      </c>
      <c r="C17" s="4" t="s">
        <v>38</v>
      </c>
      <c r="D17" s="4" t="s">
        <v>34</v>
      </c>
      <c r="E17" s="4" t="s">
        <v>122</v>
      </c>
      <c r="F17" s="5">
        <v>285714</v>
      </c>
      <c r="G17" s="4">
        <v>-0.54</v>
      </c>
      <c r="H17" s="4" t="s">
        <v>331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Cleaning Log</vt:lpstr>
      <vt:lpstr>Transactions</vt:lpstr>
      <vt:lpstr>Descriptive Stats</vt:lpstr>
      <vt:lpstr>Annual Summary</vt:lpstr>
      <vt:lpstr>Forecast</vt:lpstr>
      <vt:lpstr>Yield</vt:lpstr>
      <vt:lpstr>P&amp;L Model</vt:lpstr>
      <vt:lpstr>Sensitivity</vt:lpstr>
      <vt:lpstr>Buyer Scorecard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Akash Jana</cp:lastModifiedBy>
  <cp:revision>0</cp:revision>
  <dcterms:created xsi:type="dcterms:W3CDTF">2026-06-30T13:08:18Z</dcterms:created>
  <dcterms:modified xsi:type="dcterms:W3CDTF">2026-06-30T14:04:53Z</dcterms:modified>
  <dc:language>en-US</dc:language>
</cp:coreProperties>
</file>